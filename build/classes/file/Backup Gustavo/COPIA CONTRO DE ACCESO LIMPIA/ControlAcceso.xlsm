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ThisWorkbook"/>
  <bookViews>
    <workbookView xWindow="-120" yWindow="-120" windowWidth="29040" windowHeight="15840"/>
  </bookViews>
  <sheets>
    <sheet name="PRINCIPAL" sheetId="2" r:id="rId1"/>
    <sheet name="HORARIOS" sheetId="3" r:id="rId2"/>
    <sheet name="PAQUETERIA" sheetId="4" r:id="rId3"/>
    <sheet name="CONTROL DE LLAVES" sheetId="7" r:id="rId4"/>
    <sheet name="CONTROL MATERIAL" sheetId="6" r:id="rId5"/>
    <sheet name="ROPA" sheetId="10" r:id="rId6"/>
    <sheet name="PARKING" sheetId="9" r:id="rId7"/>
    <sheet name="LISTADO LLAVES" sheetId="11" r:id="rId8"/>
    <sheet name="MERCANCIA" sheetId="12" r:id="rId9"/>
    <sheet name="LISTADO TELÉFONOS" sheetId="13" r:id="rId10"/>
    <sheet name="PLANTILLAS" sheetId="8" r:id="rId11"/>
    <sheet name="BD.BUNGE" sheetId="1" r:id="rId12"/>
  </sheets>
  <definedNames>
    <definedName name="_xlnm._FilterDatabase" localSheetId="11" hidden="1">BD.BUNGE!$A$13:$F$1000000</definedName>
    <definedName name="_xlnm._FilterDatabase" localSheetId="3" hidden="1">'CONTROL DE LLAVES'!$A$27:$F$49895</definedName>
    <definedName name="_xlnm._FilterDatabase" localSheetId="4" hidden="1">'CONTROL MATERIAL'!$A$19:$G$49988</definedName>
    <definedName name="_xlnm._FilterDatabase" localSheetId="1" hidden="1">HORARIOS!$A$28:$G$999096</definedName>
    <definedName name="_xlnm._FilterDatabase" localSheetId="7" hidden="1">'LISTADO LLAVES'!$A$1:$M$1</definedName>
    <definedName name="_xlnm._FilterDatabase" localSheetId="9" hidden="1">'LISTADO TELÉFONOS'!$A$20:$E$1000011</definedName>
    <definedName name="_xlnm._FilterDatabase" localSheetId="8" hidden="1">MERCANCIA!$A$20:$F$1000000</definedName>
    <definedName name="_xlnm._FilterDatabase" localSheetId="2" hidden="1">PAQUETERIA!$A$16:$H$999958</definedName>
    <definedName name="_xlnm.Extract" localSheetId="0">PRINCIPAL!$D$22:$I$23</definedName>
    <definedName name="_xlnm.Criteria" localSheetId="11">BD.BUNGE!$A$4:$F$5</definedName>
    <definedName name="_xlnm.Criteria" localSheetId="3">'CONTROL DE LLAVES'!$A$13:$D$14</definedName>
    <definedName name="_xlnm.Criteria" localSheetId="4">'CONTROL MATERIAL'!$A$8:$D$9</definedName>
    <definedName name="_xlnm.Criteria" localSheetId="1">HORARIOS!$A$18:$G$19</definedName>
    <definedName name="_xlnm.Criteria" localSheetId="9">'LISTADO TELÉFONOS'!$A$15:$E$16</definedName>
    <definedName name="_xlnm.Criteria" localSheetId="8">MERCANCIA!$A$15:$F$16</definedName>
    <definedName name="_xlnm.Criteria" localSheetId="2">PAQUETERIA!$A$10:$H$11</definedName>
    <definedName name="_xlnm.Criteria" localSheetId="0">PRINCIPAL!$D$19:$I$20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" i="10" l="1"/>
  <c r="N11" i="10"/>
  <c r="E17" i="3" l="1"/>
  <c r="S76" i="8"/>
  <c r="S75" i="8"/>
  <c r="V76" i="8" l="1"/>
  <c r="Y76" i="8"/>
  <c r="AB76" i="8"/>
  <c r="AE76" i="8"/>
  <c r="V75" i="8"/>
  <c r="Y75" i="8"/>
  <c r="AB75" i="8"/>
  <c r="AE75" i="8"/>
  <c r="H17" i="2" l="1"/>
  <c r="A60" i="8" l="1"/>
  <c r="A61" i="8"/>
  <c r="A62" i="8"/>
  <c r="A63" i="8"/>
  <c r="A64" i="8"/>
  <c r="A65" i="8"/>
  <c r="A66" i="8"/>
  <c r="A67" i="8"/>
  <c r="A68" i="8"/>
  <c r="A69" i="8"/>
  <c r="A70" i="8"/>
  <c r="A71" i="8"/>
  <c r="A72" i="8"/>
  <c r="A59" i="8"/>
  <c r="N10" i="10"/>
  <c r="N9" i="10"/>
  <c r="N8" i="10"/>
  <c r="N6" i="10"/>
  <c r="N5" i="10"/>
  <c r="A15" i="10"/>
  <c r="N4" i="10"/>
  <c r="J13" i="8" l="1"/>
  <c r="I13" i="8"/>
  <c r="J12" i="8"/>
  <c r="I12" i="8"/>
  <c r="J11" i="8"/>
  <c r="I11" i="8"/>
  <c r="J10" i="8"/>
  <c r="I10" i="8"/>
  <c r="J9" i="8"/>
  <c r="I9" i="8"/>
  <c r="J8" i="8"/>
  <c r="I8" i="8"/>
  <c r="J7" i="8"/>
  <c r="I7" i="8"/>
  <c r="J6" i="8"/>
  <c r="I6" i="8"/>
  <c r="J5" i="8"/>
  <c r="I5" i="8"/>
  <c r="J4" i="8"/>
  <c r="I4" i="8"/>
  <c r="J3" i="8"/>
  <c r="I3" i="8"/>
  <c r="J2" i="8"/>
  <c r="I2" i="8"/>
  <c r="J1" i="8"/>
  <c r="I1" i="8"/>
</calcChain>
</file>

<file path=xl/sharedStrings.xml><?xml version="1.0" encoding="utf-8"?>
<sst xmlns="http://schemas.openxmlformats.org/spreadsheetml/2006/main" count="1524" uniqueCount="1052">
  <si>
    <t>EMPRESA</t>
  </si>
  <si>
    <t>FECHA</t>
  </si>
  <si>
    <t>CÓDIGO TARJETA</t>
  </si>
  <si>
    <t>NOMBRE</t>
  </si>
  <si>
    <t>DNI</t>
  </si>
  <si>
    <t>ENTRADA</t>
  </si>
  <si>
    <t>SALIDA</t>
  </si>
  <si>
    <t>TOTAL</t>
  </si>
  <si>
    <t>ACTIVIDAD A REALIZAR</t>
  </si>
  <si>
    <t>AUTORIZA</t>
  </si>
  <si>
    <t>CASCO</t>
  </si>
  <si>
    <t>GAFAS</t>
  </si>
  <si>
    <t>REJILLA</t>
  </si>
  <si>
    <t>NOTAS</t>
  </si>
  <si>
    <t>BUNGE DIRECTOR</t>
  </si>
  <si>
    <t>DANIEL ESTUPIÑA</t>
  </si>
  <si>
    <t>BUNGE MANTENIMIENTO</t>
  </si>
  <si>
    <t>JOAN CARDUS</t>
  </si>
  <si>
    <t>SERGIO VELASCO</t>
  </si>
  <si>
    <t>DANIEL SONEIRA</t>
  </si>
  <si>
    <t>MIREIA INFANTE</t>
  </si>
  <si>
    <t>SIDNEY CARRASCO</t>
  </si>
  <si>
    <t>BUNGE EXPEDICIONES</t>
  </si>
  <si>
    <t>PERE TREMOSA</t>
  </si>
  <si>
    <t>MIGUEL MOYA</t>
  </si>
  <si>
    <t>DIEGO DUEÑAS</t>
  </si>
  <si>
    <t>BUNGE LABORATORIO</t>
  </si>
  <si>
    <t>MARTA ROYO</t>
  </si>
  <si>
    <t>ALBA PERIS</t>
  </si>
  <si>
    <t>RICARD CASTEL</t>
  </si>
  <si>
    <t>ADRIAN DE JOSE</t>
  </si>
  <si>
    <t>ANNA ESPINOSA</t>
  </si>
  <si>
    <t>CRISTINA SANTINI</t>
  </si>
  <si>
    <t>SANDRA HOYA</t>
  </si>
  <si>
    <t>BUNGE DEP. TÉCNICO</t>
  </si>
  <si>
    <t>DANIEL NAVARRO</t>
  </si>
  <si>
    <t>AGNES PENELLA</t>
  </si>
  <si>
    <t>ANNA RUIZ</t>
  </si>
  <si>
    <t>ARANKA KOOS</t>
  </si>
  <si>
    <t>ALBA GALICIA</t>
  </si>
  <si>
    <t>JIMENA MARQUEZ</t>
  </si>
  <si>
    <t>XAVIER MARTORELL</t>
  </si>
  <si>
    <t>ALEX HIJANO</t>
  </si>
  <si>
    <t>BUNGE TURNO A</t>
  </si>
  <si>
    <t>ADRIAN LACHICA</t>
  </si>
  <si>
    <t>ROGER ANGLADA</t>
  </si>
  <si>
    <t>BUNGE TURNO B</t>
  </si>
  <si>
    <t>JAVIER CARRASCO</t>
  </si>
  <si>
    <t>MANUEL LEO</t>
  </si>
  <si>
    <t>BUNGE TURNO C</t>
  </si>
  <si>
    <t>PEDRO HERRERA</t>
  </si>
  <si>
    <t>LUIS  M. MARTÍNEZ</t>
  </si>
  <si>
    <t>BUNGE TURNO D</t>
  </si>
  <si>
    <t>MAROUAN BOUSSEDDANE</t>
  </si>
  <si>
    <t>MANUEL ROMERO</t>
  </si>
  <si>
    <t>GUILLERMO DIAZ</t>
  </si>
  <si>
    <t>RUBEN BORONAT</t>
  </si>
  <si>
    <t>BUNGE TURNO E</t>
  </si>
  <si>
    <t>SERGIO TORRALBA</t>
  </si>
  <si>
    <t>FRANCISCO MANZANO</t>
  </si>
  <si>
    <t>MARIO BARRENECHEA</t>
  </si>
  <si>
    <t>DEYSE</t>
  </si>
  <si>
    <t xml:space="preserve">RAUL SILVA </t>
  </si>
  <si>
    <t xml:space="preserve">ESPERANZA VELASCO </t>
  </si>
  <si>
    <t xml:space="preserve">WENDY K. BORJAS </t>
  </si>
  <si>
    <t xml:space="preserve">LINA G. NAVARRO </t>
  </si>
  <si>
    <t xml:space="preserve">JUAN CUENCA </t>
  </si>
  <si>
    <t>FRANCISCO ROMERO</t>
  </si>
  <si>
    <t>JUAN C. MUÑOZ</t>
  </si>
  <si>
    <t>JOSE A. LORENZANA</t>
  </si>
  <si>
    <t xml:space="preserve">MAURICIO PARDO </t>
  </si>
  <si>
    <t xml:space="preserve">ROMER FERRERAS </t>
  </si>
  <si>
    <r>
      <t>ANTONIO RIVAS</t>
    </r>
    <r>
      <rPr>
        <b/>
        <sz val="12"/>
        <color rgb="FFFF0000"/>
        <rFont val="Calibri"/>
        <family val="2"/>
        <scheme val="minor"/>
      </rPr>
      <t xml:space="preserve"> </t>
    </r>
  </si>
  <si>
    <t xml:space="preserve">JOSE LUIS RAMIREZ </t>
  </si>
  <si>
    <t xml:space="preserve">FRANCISCO CABRERA </t>
  </si>
  <si>
    <t xml:space="preserve">RENE ESPINOSA </t>
  </si>
  <si>
    <t xml:space="preserve">MARK KARIGBE </t>
  </si>
  <si>
    <t xml:space="preserve">DANIEL MARIN </t>
  </si>
  <si>
    <t>DOMINION</t>
  </si>
  <si>
    <t>DINU STELA</t>
  </si>
  <si>
    <t>JAVIER CABEZA</t>
  </si>
  <si>
    <t xml:space="preserve">JUAN ANTONIO CABEZA </t>
  </si>
  <si>
    <t>EDIN BRIONES</t>
  </si>
  <si>
    <t>FEKA DOUGLAS</t>
  </si>
  <si>
    <t>JORDI REYES</t>
  </si>
  <si>
    <t>VAL-RIVAL</t>
  </si>
  <si>
    <t>OSCAR VAL</t>
  </si>
  <si>
    <t>PEDRO MONCHO</t>
  </si>
  <si>
    <t>SIFU</t>
  </si>
  <si>
    <t>ALEJANDRO ECHARRI</t>
  </si>
  <si>
    <t>PETER MEDINA</t>
  </si>
  <si>
    <t>OBRELSA</t>
  </si>
  <si>
    <t>DANIEL ESPINOSA</t>
  </si>
  <si>
    <t>IDOM</t>
  </si>
  <si>
    <t>GABRIEL MORALES</t>
  </si>
  <si>
    <t>ALCESA</t>
  </si>
  <si>
    <t>JORDI ALCARAZ</t>
  </si>
  <si>
    <t>LUIS ENCINAS</t>
  </si>
  <si>
    <t>JOSE L. LAZARO TORRES</t>
  </si>
  <si>
    <t>LUIS S. AGUILERA</t>
  </si>
  <si>
    <t>ABDELHAFID SAOUD</t>
  </si>
  <si>
    <t>IONEL MARIU ARDELEAN</t>
  </si>
  <si>
    <t>INSTVALLES</t>
  </si>
  <si>
    <t>CONFHYDRA</t>
  </si>
  <si>
    <t>FRANCESC TARREGA</t>
  </si>
  <si>
    <t>ALBERT BACARDIT</t>
  </si>
  <si>
    <t>HECTOR FERRER</t>
  </si>
  <si>
    <t>IVAN MAGAÑA</t>
  </si>
  <si>
    <t>MARIO BENITEZ</t>
  </si>
  <si>
    <t>GERMAN ALBA</t>
  </si>
  <si>
    <t>ROGER NOGUERA</t>
  </si>
  <si>
    <t>YONG REN</t>
  </si>
  <si>
    <t>CARLOS A. MARIANO</t>
  </si>
  <si>
    <t>MOUSA FOFAN</t>
  </si>
  <si>
    <t>FRANCISCO J.RODILLAR</t>
  </si>
  <si>
    <t>MARC MIRO</t>
  </si>
  <si>
    <t>RAFAEL MONTERO</t>
  </si>
  <si>
    <t>FELIX MONTERO</t>
  </si>
  <si>
    <t>LUIS IRADIER MEDEIRO</t>
  </si>
  <si>
    <t>CARLOS VAZQUEZ</t>
  </si>
  <si>
    <t>VERTISILO</t>
  </si>
  <si>
    <t>ERIC BASSI</t>
  </si>
  <si>
    <t>RICARD RIBA</t>
  </si>
  <si>
    <t>ALEIX PRAT</t>
  </si>
  <si>
    <t>JORDI CAMPILLO</t>
  </si>
  <si>
    <t>XAVIER SERRA</t>
  </si>
  <si>
    <t>OSCAR SORIANO</t>
  </si>
  <si>
    <t>INGAISVER</t>
  </si>
  <si>
    <t>JUAN C. RODRIGUEZ</t>
  </si>
  <si>
    <t>CLAYTON MENDES</t>
  </si>
  <si>
    <t>OMAR AMBOYA</t>
  </si>
  <si>
    <t>WILLIAN VERNEQUE</t>
  </si>
  <si>
    <t>JUAN MANUEL SALAS</t>
  </si>
  <si>
    <t>ISIDRO ARNEDO</t>
  </si>
  <si>
    <t>ENRIQUE OLIVA</t>
  </si>
  <si>
    <t>MARCOS OLIVEIRAS</t>
  </si>
  <si>
    <t>MICHEL MOLERO</t>
  </si>
  <si>
    <t>THIAGO FELISARDO</t>
  </si>
  <si>
    <t>PABLO V. BARAHONA</t>
  </si>
  <si>
    <t>ROLLS ROYCE - BERGEN</t>
  </si>
  <si>
    <t>XAVIER JAMAS</t>
  </si>
  <si>
    <t>JOSE A. BELTRAN</t>
  </si>
  <si>
    <t>BILAL EBRAHMAN</t>
  </si>
  <si>
    <t>CRISTO MARTI</t>
  </si>
  <si>
    <t>MIGUEL SANZ</t>
  </si>
  <si>
    <t>CRISTIAN VICARIO</t>
  </si>
  <si>
    <t>MITKO PARUSHEV</t>
  </si>
  <si>
    <t>IOAN VLAD</t>
  </si>
  <si>
    <t>MICHAEL SMITH</t>
  </si>
  <si>
    <t>MICHAL BUBENKA</t>
  </si>
  <si>
    <t>DAVID GUILLEN</t>
  </si>
  <si>
    <t>TERMISER</t>
  </si>
  <si>
    <t>DAVID PACHECO</t>
  </si>
  <si>
    <t>MUSTPHA BEN-EL-ATTAR</t>
  </si>
  <si>
    <t>SOUMAILA TRADRE</t>
  </si>
  <si>
    <t>EDGAR FREDDY</t>
  </si>
  <si>
    <t>WILSON CABRERA</t>
  </si>
  <si>
    <t>RONY GUARNIZO</t>
  </si>
  <si>
    <t>FRANCISCO FEIJO</t>
  </si>
  <si>
    <t>JULIO CESAR BAUTISTA</t>
  </si>
  <si>
    <t xml:space="preserve">RICHARD NELSON </t>
  </si>
  <si>
    <t>FELIX LORA</t>
  </si>
  <si>
    <t>IVAN MARTINEZ</t>
  </si>
  <si>
    <t>ANGEL PATRICIO</t>
  </si>
  <si>
    <t>FRANCISCO J.SANCHEZ</t>
  </si>
  <si>
    <t>MES</t>
  </si>
  <si>
    <t>49533560R</t>
  </si>
  <si>
    <t>43453338J</t>
  </si>
  <si>
    <t>23819859R</t>
  </si>
  <si>
    <t>46965688X</t>
  </si>
  <si>
    <t>45858469B</t>
  </si>
  <si>
    <t>77124332L</t>
  </si>
  <si>
    <t>45856399B</t>
  </si>
  <si>
    <t>RECEPCIÓN</t>
  </si>
  <si>
    <t>DEPARTAMENTO DESTINO</t>
  </si>
  <si>
    <t>EMPRESA REMITENTE</t>
  </si>
  <si>
    <t>AGENCIA DE TRANSPORTE</t>
  </si>
  <si>
    <t>NOMBRE TRANSPORTISTA</t>
  </si>
  <si>
    <t>PERSONA QUE NOS ENTREGA EL PAQUETE</t>
  </si>
  <si>
    <t>HORA</t>
  </si>
  <si>
    <t>HORA DEVOLUCIÓN</t>
  </si>
  <si>
    <t>HORA ENTREGA</t>
  </si>
  <si>
    <t>Nº LLAVE</t>
  </si>
  <si>
    <t>NOMBRE APELLIDOS</t>
  </si>
  <si>
    <t>CONTROL DE LLAVES</t>
  </si>
  <si>
    <t>AUTORIZA RAMÓN ARNALOT</t>
  </si>
  <si>
    <t>JOSE ONTENIENTE O DANIEL NAVARRO</t>
  </si>
  <si>
    <t>AUTORIZA ANNA RUIZ</t>
  </si>
  <si>
    <t>AUTORIZA SERGIO VELASCO</t>
  </si>
  <si>
    <t>AUTORIZA DANIEL NAVARRO / JEFE DE TURNO</t>
  </si>
  <si>
    <t xml:space="preserve"> 44 - 46</t>
  </si>
  <si>
    <t>AUTORIZACIÓN</t>
  </si>
  <si>
    <t>MATERIAL</t>
  </si>
  <si>
    <t>NOMBRE Y APELLIDOS</t>
  </si>
  <si>
    <t xml:space="preserve">CONTROL DE MATRIAL </t>
  </si>
  <si>
    <t>EMPRESA DESTINO</t>
  </si>
  <si>
    <t>PLANTILLA PAQUETERÍA</t>
  </si>
  <si>
    <t>PLANTILLA CONTROL MATERIAL</t>
  </si>
  <si>
    <t>PLANTILLA CONTROL DE LLAVES</t>
  </si>
  <si>
    <t>NO MODIFICAR NADA</t>
  </si>
  <si>
    <t>MARIAN CINJAU</t>
  </si>
  <si>
    <t>CONSTANTIN MOGOS</t>
  </si>
  <si>
    <t>TURNO</t>
  </si>
  <si>
    <t>D.NAVARRO</t>
  </si>
  <si>
    <t>SIDNEY</t>
  </si>
  <si>
    <t>JEFES DE TURNO</t>
  </si>
  <si>
    <t>A.RUIZ</t>
  </si>
  <si>
    <t>RAMON</t>
  </si>
  <si>
    <t>CASTEL</t>
  </si>
  <si>
    <t>TA-1351</t>
  </si>
  <si>
    <t>SONEIRA</t>
  </si>
  <si>
    <t>A.HIJANO</t>
  </si>
  <si>
    <t>MARTORELL</t>
  </si>
  <si>
    <t>EDIFICIO SOCIAL</t>
  </si>
  <si>
    <t xml:space="preserve">   OFICINAS</t>
  </si>
  <si>
    <t>OFICINA TECNICA</t>
  </si>
  <si>
    <t>Y</t>
  </si>
  <si>
    <t>ALMACEN HORIZONTAL</t>
  </si>
  <si>
    <t>D.DUEÑAS</t>
  </si>
  <si>
    <t>MARGA</t>
  </si>
  <si>
    <t>MARÍA</t>
  </si>
  <si>
    <t>MOYA</t>
  </si>
  <si>
    <t>ONTENIENTE</t>
  </si>
  <si>
    <t>VELASCO</t>
  </si>
  <si>
    <t>GREGORIO</t>
  </si>
  <si>
    <t>JIMENA</t>
  </si>
  <si>
    <t>LABORATORIO</t>
  </si>
  <si>
    <t>F. AVARO</t>
  </si>
  <si>
    <t>M.MARTIN</t>
  </si>
  <si>
    <t>LAURA G.</t>
  </si>
  <si>
    <t xml:space="preserve">MARI CARMEN </t>
  </si>
  <si>
    <t>R.MASQUÉ</t>
  </si>
  <si>
    <t>ENERPRO</t>
  </si>
  <si>
    <t>A. PERIS</t>
  </si>
  <si>
    <t>ARANKA</t>
  </si>
  <si>
    <t>MIREIA INF.</t>
  </si>
  <si>
    <t>J.CARDUS</t>
  </si>
  <si>
    <t>AZAHARA C.</t>
  </si>
  <si>
    <t>D.ESTUPIÑA</t>
  </si>
  <si>
    <t>MARIA DEL CARMEN JORGE</t>
  </si>
  <si>
    <t>ROPA</t>
  </si>
  <si>
    <t>TALLAS</t>
  </si>
  <si>
    <t>PANTALÓN VERDE</t>
  </si>
  <si>
    <t>PANTALÓN AZUL</t>
  </si>
  <si>
    <t>CAMISA VERDE</t>
  </si>
  <si>
    <t>CAMISA AZUL</t>
  </si>
  <si>
    <t>CAZADORA VERDE</t>
  </si>
  <si>
    <t>CAZADORA VERDE INVIERNO</t>
  </si>
  <si>
    <t>BATA BLANCA</t>
  </si>
  <si>
    <t>BOTAS</t>
  </si>
  <si>
    <t>PRENDA</t>
  </si>
  <si>
    <t>CANTIDAD</t>
  </si>
  <si>
    <t>TALLAS DE ROPA</t>
  </si>
  <si>
    <t>TIPO DE ROPA</t>
  </si>
  <si>
    <t xml:space="preserve">TALLA </t>
  </si>
  <si>
    <t>PLANTILLA LISTA  ROPA</t>
  </si>
  <si>
    <t>ACCESO PRINCIPAL</t>
  </si>
  <si>
    <t>PEATONAL DERECHA</t>
  </si>
  <si>
    <t>PEATONAL IZQUIERDA</t>
  </si>
  <si>
    <t>CONTROL ACCESO</t>
  </si>
  <si>
    <t>PUERTA LADO MONTAÑA</t>
  </si>
  <si>
    <t>PUERTA LADO MAR</t>
  </si>
  <si>
    <t>EXPEDICIONES</t>
  </si>
  <si>
    <t>ARMARIO SIRENAS EMERGENCIAS</t>
  </si>
  <si>
    <t>TORNO BUNGE</t>
  </si>
  <si>
    <t>ACCESO ZONA DE TRATAMIENTO DE AGUAS</t>
  </si>
  <si>
    <t xml:space="preserve">ACCESO POR MICRONIADO </t>
  </si>
  <si>
    <t>ACCESO FRENTE TORRE MAQUINARIA</t>
  </si>
  <si>
    <t>CASETA GAS</t>
  </si>
  <si>
    <t>CASETA MAQUINARIA ASCENSOR PISO 7</t>
  </si>
  <si>
    <t>TORRE ROVIRA</t>
  </si>
  <si>
    <t>CUARTO DE LA GRASA</t>
  </si>
  <si>
    <t>CASETA MAQUINARIA ASCENSOR PISO 4</t>
  </si>
  <si>
    <t>TRANSROMADOR FUERZA Nº4</t>
  </si>
  <si>
    <t>TRANSROMADOR FUERZA Nº3</t>
  </si>
  <si>
    <t>TRANSROMADOR FUERZA Nº2</t>
  </si>
  <si>
    <t>TRANSFORMADOR DE ALUMBRADO</t>
  </si>
  <si>
    <t>ACCESO SALA BAJA TENSIÓN</t>
  </si>
  <si>
    <t>SALA BAJA TENSIÓN – PASILLO ALTA TENSIÓN</t>
  </si>
  <si>
    <t>DISYUNTOR ENTRADA GENERAL</t>
  </si>
  <si>
    <t>CASETA EUROBLOC</t>
  </si>
  <si>
    <t>ACCESO A ESCALES TC-1203 (RENFE)</t>
  </si>
  <si>
    <t>OLESTOCK</t>
  </si>
  <si>
    <t>TRANSFORMADOR FUERZA Nº1</t>
  </si>
  <si>
    <t>ACCESO BÁSCULA ERGRANSA</t>
  </si>
  <si>
    <t>PUERTA TORRE CINTA TB-104</t>
  </si>
  <si>
    <t>TORRE 3 (ROVIRA)</t>
  </si>
  <si>
    <t>ACCESO TORRE Nº1 ESGRANSA</t>
  </si>
  <si>
    <t>CANCELA CALLE INTERIOR-LADO MAR PUERTA PEQUÑA</t>
  </si>
  <si>
    <t>ACCESO A TC 1303 A Y B</t>
  </si>
  <si>
    <t>OFICINA</t>
  </si>
  <si>
    <t>ACCESO A NAVE POR LADO TARRAGONA</t>
  </si>
  <si>
    <t>CUBIERTOS PARA TURNOS</t>
  </si>
  <si>
    <t>CANCELA CALLE INTERIOR LADO MONTAÑA PUERTA PEQUEÑA</t>
  </si>
  <si>
    <t>ACCESO A NAVE POR LADO TARRAGONA PUERTA GUILLOTINA</t>
  </si>
  <si>
    <t>ACCESO A NAVE POR LADO TARRAGONA PUERTA CORREDERA LADO MONTAÑA</t>
  </si>
  <si>
    <t>ACCESO A RECEPCIÓN LADO MONTAÑA</t>
  </si>
  <si>
    <t>ACCESO A ESCALERAS DE OFICINAS</t>
  </si>
  <si>
    <t>ACCESO CONTROL LADO MAR</t>
  </si>
  <si>
    <t>HUECO ESCALERA OFICINAS PLANTA BAJA</t>
  </si>
  <si>
    <t>HUECO ESCALERA OFICINAS SEGUNDA PLANTA</t>
  </si>
  <si>
    <t>ACCESO A ESCALERA DE EMERGENCIA SEGUNDO PISO DE OFICINAS</t>
  </si>
  <si>
    <t>AZOTEA</t>
  </si>
  <si>
    <t>CARGA ACEITE</t>
  </si>
  <si>
    <t>COMUNICACIÓN TESORERIA Y ARCHIVO</t>
  </si>
  <si>
    <t>PUERTA COMUNICACIÓN SEGUNDO PISO A TESORERÍA</t>
  </si>
  <si>
    <t>ARCHIVO</t>
  </si>
  <si>
    <t>ACCESO ALMACEN LADO TARRAGONA (PALISTAS)</t>
  </si>
  <si>
    <t>BARREDORA</t>
  </si>
  <si>
    <t>MANDO PORTAL LADO MAR</t>
  </si>
  <si>
    <t>TENEDOR</t>
  </si>
  <si>
    <t>CUCHARA</t>
  </si>
  <si>
    <t>PLATAFORMA ELEVADORA</t>
  </si>
  <si>
    <t>POLIPASTO EXTRACCIÓN</t>
  </si>
  <si>
    <t>PLATAFORMA ELEVADORA GRANDE</t>
  </si>
  <si>
    <t>COCINA</t>
  </si>
  <si>
    <t>BOTIQUIN</t>
  </si>
  <si>
    <t>VESTUARIO CHICAS</t>
  </si>
  <si>
    <t>OFICINA MANTENIMIENTO</t>
  </si>
  <si>
    <t>LIMPIEZA DEYSE</t>
  </si>
  <si>
    <t>VESTUARIO CONTROL</t>
  </si>
  <si>
    <t>EPIS Y AGUAS</t>
  </si>
  <si>
    <t>PLATAFORMA ELEVADORA PEQUEÑA (GINOX)</t>
  </si>
  <si>
    <t>LABORATORIO MICRO</t>
  </si>
  <si>
    <t>DESPACHO RAMON ARNALOT</t>
  </si>
  <si>
    <t>ALMACEN LABORATORIO</t>
  </si>
  <si>
    <t>CASETA RESIDUOS</t>
  </si>
  <si>
    <t>COPIA VESTUARIO CHICAS LABORATORIO</t>
  </si>
  <si>
    <t>COPIA PUERTA CONTROL ACCESOS</t>
  </si>
  <si>
    <t>COPIA VESTUARIO CONTROL</t>
  </si>
  <si>
    <t>COPIA CROMA</t>
  </si>
  <si>
    <t>COPIA DESPACHO INGRID</t>
  </si>
  <si>
    <t>COPIA PLATAFORMA ELEVADORA</t>
  </si>
  <si>
    <t>COPIA COMEDOR</t>
  </si>
  <si>
    <t>COPIA ERGRANSA</t>
  </si>
  <si>
    <t>COPIA VESTUARIO CHICAS</t>
  </si>
  <si>
    <t>BARRERAS</t>
  </si>
  <si>
    <t xml:space="preserve">SALA DEL GAS </t>
  </si>
  <si>
    <t>(CONGENERACIÓN)</t>
  </si>
  <si>
    <t>PENDRIVE USB 2ª PLANTA</t>
  </si>
  <si>
    <t>SALA REUNIONES 2ª PLANTA</t>
  </si>
  <si>
    <t xml:space="preserve"> SALA FORMACIÓN</t>
  </si>
  <si>
    <t>INTIGRITY ROOM</t>
  </si>
  <si>
    <t>SALA DE VISITAS</t>
  </si>
  <si>
    <t>SALA AUDITORES</t>
  </si>
  <si>
    <t>SALA NEVERA 2ª PLANTA</t>
  </si>
  <si>
    <t>MINI PALA ELÉCTRICA</t>
  </si>
  <si>
    <t>COMEDOR</t>
  </si>
  <si>
    <t>CONTROL DE PRODUCCIÓN</t>
  </si>
  <si>
    <t>DESPACHO JEFE TURNO</t>
  </si>
  <si>
    <t>LLAVE NISSAN</t>
  </si>
  <si>
    <t>(NO HAY DATOS DE ESTA LLAVE)</t>
  </si>
  <si>
    <t>TALLER ELECTRICO</t>
  </si>
  <si>
    <t>CASETA O.E.S.A</t>
  </si>
  <si>
    <t>PASILLO ARCHIVO</t>
  </si>
  <si>
    <t>COPIAS LLAVES CUARTO DE AGUAS</t>
  </si>
  <si>
    <t>LLEVAT</t>
  </si>
  <si>
    <t>FRANCISCO ROJANO</t>
  </si>
  <si>
    <t>38554991E</t>
  </si>
  <si>
    <t>RECIMAN</t>
  </si>
  <si>
    <t>FELIPE MOYA HEREDIA</t>
  </si>
  <si>
    <t>36532376G</t>
  </si>
  <si>
    <t>44021171E</t>
  </si>
  <si>
    <t>52439319D</t>
  </si>
  <si>
    <t>X5870348N</t>
  </si>
  <si>
    <t>46725940Z</t>
  </si>
  <si>
    <t>44421212R</t>
  </si>
  <si>
    <t>HERNAN PARADA</t>
  </si>
  <si>
    <t>X5756405B</t>
  </si>
  <si>
    <t>ALFREDO MANCILLA</t>
  </si>
  <si>
    <t>47883816R</t>
  </si>
  <si>
    <t>DAVID OCAÑA</t>
  </si>
  <si>
    <t>46065760A</t>
  </si>
  <si>
    <t>CARLOS MIRALLES CARRILLO</t>
  </si>
  <si>
    <t>34819753F</t>
  </si>
  <si>
    <t>JOSE LUIS TEBA DURO</t>
  </si>
  <si>
    <t>38140835G</t>
  </si>
  <si>
    <t>49810583N</t>
  </si>
  <si>
    <t>39163089T</t>
  </si>
  <si>
    <t>X4436352C</t>
  </si>
  <si>
    <t>52462214L</t>
  </si>
  <si>
    <t>52462213H</t>
  </si>
  <si>
    <t>24491801K</t>
  </si>
  <si>
    <t>X7861430F</t>
  </si>
  <si>
    <t>44424084K</t>
  </si>
  <si>
    <t>LUIS SANTANA</t>
  </si>
  <si>
    <t>35116313M</t>
  </si>
  <si>
    <t>80029969C</t>
  </si>
  <si>
    <t>35116314Y</t>
  </si>
  <si>
    <t>47816605L</t>
  </si>
  <si>
    <t>X6829593L</t>
  </si>
  <si>
    <t>X3731415V</t>
  </si>
  <si>
    <t>54927474R</t>
  </si>
  <si>
    <t>52461623A</t>
  </si>
  <si>
    <t>Y2256308E</t>
  </si>
  <si>
    <t>37791159C</t>
  </si>
  <si>
    <t>77342299P</t>
  </si>
  <si>
    <t>39439606B</t>
  </si>
  <si>
    <t>52200742B</t>
  </si>
  <si>
    <t>54029429Z</t>
  </si>
  <si>
    <t>48062013V</t>
  </si>
  <si>
    <t>75817014K</t>
  </si>
  <si>
    <t>47908952K</t>
  </si>
  <si>
    <t>34753503C</t>
  </si>
  <si>
    <t>Y3175807G</t>
  </si>
  <si>
    <t>31037104F</t>
  </si>
  <si>
    <t>46533477S</t>
  </si>
  <si>
    <t>37313789S</t>
  </si>
  <si>
    <t>26211501B</t>
  </si>
  <si>
    <t>46681078W</t>
  </si>
  <si>
    <t>46649971Z</t>
  </si>
  <si>
    <t>PEDRO PEREZ</t>
  </si>
  <si>
    <t>72033830S</t>
  </si>
  <si>
    <t>38458350G</t>
  </si>
  <si>
    <t>53068508X</t>
  </si>
  <si>
    <t>45752194L</t>
  </si>
  <si>
    <t>Y1755092E</t>
  </si>
  <si>
    <t>46047858H</t>
  </si>
  <si>
    <t>ABRAHAM POUGET</t>
  </si>
  <si>
    <t>47603133X</t>
  </si>
  <si>
    <t>47602019T</t>
  </si>
  <si>
    <t>47324104V</t>
  </si>
  <si>
    <t>47859655J</t>
  </si>
  <si>
    <t>46359959D</t>
  </si>
  <si>
    <t>49220701B</t>
  </si>
  <si>
    <t>39920696X</t>
  </si>
  <si>
    <t>53323041W</t>
  </si>
  <si>
    <t>46360475L</t>
  </si>
  <si>
    <t>43635245J</t>
  </si>
  <si>
    <t>78088712D</t>
  </si>
  <si>
    <t>53334453Y</t>
  </si>
  <si>
    <t>38855450D</t>
  </si>
  <si>
    <t>43512723N</t>
  </si>
  <si>
    <t>53329067W</t>
  </si>
  <si>
    <t>43510322A</t>
  </si>
  <si>
    <t>43512722B</t>
  </si>
  <si>
    <t>21755105A</t>
  </si>
  <si>
    <t>37793966M</t>
  </si>
  <si>
    <t>47632901Q</t>
  </si>
  <si>
    <t>45857438S</t>
  </si>
  <si>
    <t>52914119C</t>
  </si>
  <si>
    <t>41749790Y</t>
  </si>
  <si>
    <t>46644701M</t>
  </si>
  <si>
    <t>52463229E</t>
  </si>
  <si>
    <t>70425140Z</t>
  </si>
  <si>
    <t>IGNACIO HERNANZ</t>
  </si>
  <si>
    <t>71169857Z</t>
  </si>
  <si>
    <t>PERE RIBA VINYALS</t>
  </si>
  <si>
    <t>36974628N</t>
  </si>
  <si>
    <t>LUIS SAENZ VILLAMOR</t>
  </si>
  <si>
    <t>16633083N</t>
  </si>
  <si>
    <t>ESTHER GRACIA</t>
  </si>
  <si>
    <t>46742890S</t>
  </si>
  <si>
    <t>JOSEFA LOPEZ LARA</t>
  </si>
  <si>
    <t>06253965N</t>
  </si>
  <si>
    <t>JOSE LUIS PEIÑAN</t>
  </si>
  <si>
    <t>39738317K</t>
  </si>
  <si>
    <t>IRENE GURIERREZ</t>
  </si>
  <si>
    <t>02289644R</t>
  </si>
  <si>
    <t>46239841C</t>
  </si>
  <si>
    <t>FRANCISCO CASTELLO GALLO</t>
  </si>
  <si>
    <t>MARIBEL ANCHIRAYCO</t>
  </si>
  <si>
    <t>49894202A</t>
  </si>
  <si>
    <t>BERNARDA OSORIO</t>
  </si>
  <si>
    <t>42322766Y</t>
  </si>
  <si>
    <t>DANIEL OLTRA</t>
  </si>
  <si>
    <t>40995006J</t>
  </si>
  <si>
    <t>JOSE ALFONSO FREAZA</t>
  </si>
  <si>
    <t>37332950V</t>
  </si>
  <si>
    <t>DAVID AGUADO BOZA</t>
  </si>
  <si>
    <t>33967880P</t>
  </si>
  <si>
    <t>JAVIER MARTOS FERNANDEZ</t>
  </si>
  <si>
    <t>44422368F</t>
  </si>
  <si>
    <t>JOSE ANTONIO CALVENTE</t>
  </si>
  <si>
    <t>46338951T</t>
  </si>
  <si>
    <t>TONI MUNTE PUIG</t>
  </si>
  <si>
    <t>37692590Y</t>
  </si>
  <si>
    <t>SANTIAGO CURSACH</t>
  </si>
  <si>
    <t>41746723K</t>
  </si>
  <si>
    <t>TOMAS FERNANDEZ</t>
  </si>
  <si>
    <t>34748642N</t>
  </si>
  <si>
    <t>45882787H</t>
  </si>
  <si>
    <t>43156971R</t>
  </si>
  <si>
    <t>45646798D</t>
  </si>
  <si>
    <t>X6534176Z</t>
  </si>
  <si>
    <t>14268548S</t>
  </si>
  <si>
    <t>X2061879K</t>
  </si>
  <si>
    <t>47684976L</t>
  </si>
  <si>
    <t>46760940P</t>
  </si>
  <si>
    <t>06300159E</t>
  </si>
  <si>
    <t>39435682C</t>
  </si>
  <si>
    <t>45181476T</t>
  </si>
  <si>
    <t>53030283B</t>
  </si>
  <si>
    <t>34750370S</t>
  </si>
  <si>
    <t>33912289P</t>
  </si>
  <si>
    <t>Y1452243Z</t>
  </si>
  <si>
    <t>54317896S</t>
  </si>
  <si>
    <t>Y1825186N</t>
  </si>
  <si>
    <t>53074884S</t>
  </si>
  <si>
    <t>46526019D</t>
  </si>
  <si>
    <t>52403204G</t>
  </si>
  <si>
    <t>Y4972824P</t>
  </si>
  <si>
    <t>44935534C</t>
  </si>
  <si>
    <t>Y6895298G</t>
  </si>
  <si>
    <t>SGS</t>
  </si>
  <si>
    <t>SERGIO VALHONDO</t>
  </si>
  <si>
    <t>46360559B</t>
  </si>
  <si>
    <t>JOSE IGNACIO LOBRE</t>
  </si>
  <si>
    <t>17559365P</t>
  </si>
  <si>
    <t>MIQUEL SALA</t>
  </si>
  <si>
    <t>47788886S</t>
  </si>
  <si>
    <t>JORGE RAYA</t>
  </si>
  <si>
    <t>46821577V</t>
  </si>
  <si>
    <t>TECMAN</t>
  </si>
  <si>
    <t>XABIER GONZALEZ</t>
  </si>
  <si>
    <t>14267057L</t>
  </si>
  <si>
    <t>MIGUEL ANGEL VAZQUEZ</t>
  </si>
  <si>
    <t>38461045P</t>
  </si>
  <si>
    <t>PREDITEC</t>
  </si>
  <si>
    <t>DANIEL HEVIA FERNANDEZ</t>
  </si>
  <si>
    <t>53559530M</t>
  </si>
  <si>
    <t>DANIEL P. RODRIGUEZ</t>
  </si>
  <si>
    <t>71526718F</t>
  </si>
  <si>
    <t>JOAQUIN MASQUE</t>
  </si>
  <si>
    <t>39889029Z</t>
  </si>
  <si>
    <t>NESTOR DE LA FUENTE</t>
  </si>
  <si>
    <t>53648895S</t>
  </si>
  <si>
    <t>PREFIRE</t>
  </si>
  <si>
    <t>FRANCISCO CJOSE ROCAMORA</t>
  </si>
  <si>
    <t>38843890H</t>
  </si>
  <si>
    <t>ANDRES DAMIAN DOTTO</t>
  </si>
  <si>
    <t>Y2834647A</t>
  </si>
  <si>
    <t>MARC GRANDE</t>
  </si>
  <si>
    <t>53331895R</t>
  </si>
  <si>
    <t>STENCO</t>
  </si>
  <si>
    <t>VICTOR BOHERA</t>
  </si>
  <si>
    <t>43553064B</t>
  </si>
  <si>
    <t>JUAN ANTONIO RUEDA</t>
  </si>
  <si>
    <t>43414390G</t>
  </si>
  <si>
    <t xml:space="preserve">MARC SERRA </t>
  </si>
  <si>
    <t>47174351V</t>
  </si>
  <si>
    <t>JAVIER FERNANDEZ</t>
  </si>
  <si>
    <t>40981032T</t>
  </si>
  <si>
    <t>JOSE MARIA CORDOBA</t>
  </si>
  <si>
    <t>45495782B</t>
  </si>
  <si>
    <t>DETERCO</t>
  </si>
  <si>
    <t>JOSE WILLIAN CLAVIJO</t>
  </si>
  <si>
    <t>49807208H</t>
  </si>
  <si>
    <t>JOSE RAUL GUERRERO</t>
  </si>
  <si>
    <t>74230862H</t>
  </si>
  <si>
    <t>ADIVETER</t>
  </si>
  <si>
    <t>39887251F</t>
  </si>
  <si>
    <t>JOSE RAMON PADILLA</t>
  </si>
  <si>
    <t>46677898L</t>
  </si>
  <si>
    <t>39723915V</t>
  </si>
  <si>
    <t>JUAN MESIA</t>
  </si>
  <si>
    <t>35006968W</t>
  </si>
  <si>
    <t>GINOX</t>
  </si>
  <si>
    <t>MIGUEL ANGEL AYALA</t>
  </si>
  <si>
    <t>38822491-D</t>
  </si>
  <si>
    <t>FRANCISCO COSTA GARCIA</t>
  </si>
  <si>
    <t>40325921K</t>
  </si>
  <si>
    <t>JUAN JOSE CUADRADO</t>
  </si>
  <si>
    <t>30194578V</t>
  </si>
  <si>
    <t>MANU. FAC. PLASTICO</t>
  </si>
  <si>
    <t xml:space="preserve">CESAR HERNANDO </t>
  </si>
  <si>
    <t>46805386H</t>
  </si>
  <si>
    <t>ALEJANDRO MARINEX</t>
  </si>
  <si>
    <t>47235967Q</t>
  </si>
  <si>
    <t>EDUARDO GARRIGA</t>
  </si>
  <si>
    <t>44968475Q</t>
  </si>
  <si>
    <t>IVAN FERNANDEZ</t>
  </si>
  <si>
    <t>46947515F</t>
  </si>
  <si>
    <t>ORMAZABAL</t>
  </si>
  <si>
    <t>DANEIL PEREZ</t>
  </si>
  <si>
    <t>54082130E</t>
  </si>
  <si>
    <t>PROCAL</t>
  </si>
  <si>
    <t>36569425T</t>
  </si>
  <si>
    <t>INES BERENGUERES</t>
  </si>
  <si>
    <t>ENVIROTECNICA</t>
  </si>
  <si>
    <t>JORDI GARCES MONTERO</t>
  </si>
  <si>
    <t>46726529M</t>
  </si>
  <si>
    <t>JOSE MARIA PINTO GARRIGA</t>
  </si>
  <si>
    <t>39325690Z</t>
  </si>
  <si>
    <t>JUAN PABLO RIVAS</t>
  </si>
  <si>
    <t>39448020F</t>
  </si>
  <si>
    <t>GARCIA ESCALERA</t>
  </si>
  <si>
    <t>CARLOS ARANDA</t>
  </si>
  <si>
    <t>47638438X</t>
  </si>
  <si>
    <t>ISIDRO BANEGA</t>
  </si>
  <si>
    <t>52427133J</t>
  </si>
  <si>
    <t>CALDERERIA SC</t>
  </si>
  <si>
    <t>GARY ENRIQUE VERA</t>
  </si>
  <si>
    <t>49219795W</t>
  </si>
  <si>
    <t>VICTOR ANDREU GRACIA</t>
  </si>
  <si>
    <t>45643709W</t>
  </si>
  <si>
    <t>ISS</t>
  </si>
  <si>
    <t>RAMON CASAÑE</t>
  </si>
  <si>
    <t>46226051F</t>
  </si>
  <si>
    <t>Y5055846T</t>
  </si>
  <si>
    <t>MATTIA DE AMICI</t>
  </si>
  <si>
    <t>LTR</t>
  </si>
  <si>
    <t>JORDI CAMARA</t>
  </si>
  <si>
    <t>46766397Z</t>
  </si>
  <si>
    <t xml:space="preserve">RECIMAN </t>
  </si>
  <si>
    <t>AOULAD BEN TAIB NABIL</t>
  </si>
  <si>
    <t>X6374371J</t>
  </si>
  <si>
    <t>JORDI CARRILLO</t>
  </si>
  <si>
    <t>46579186T</t>
  </si>
  <si>
    <t>JULIAN LLAMAS</t>
  </si>
  <si>
    <t>46595873N</t>
  </si>
  <si>
    <t xml:space="preserve">DANIEL RUBIO </t>
  </si>
  <si>
    <t>46596810Y</t>
  </si>
  <si>
    <t>MARCOS GOMEZ</t>
  </si>
  <si>
    <t>X4114422K</t>
  </si>
  <si>
    <t>NOUREDDINE CHADAD</t>
  </si>
  <si>
    <t>X2174729X</t>
  </si>
  <si>
    <t>LISANT</t>
  </si>
  <si>
    <t>FRANCISCO BALASTEGUI</t>
  </si>
  <si>
    <t>38073347K</t>
  </si>
  <si>
    <t>JOSE A. HERNANDEZ</t>
  </si>
  <si>
    <t>74624725Y</t>
  </si>
  <si>
    <t>VALENTIN DIAZ SOTO</t>
  </si>
  <si>
    <t>46787580Z</t>
  </si>
  <si>
    <t>JAVIER MEDINA</t>
  </si>
  <si>
    <t>47185630A</t>
  </si>
  <si>
    <t>AGUSTIN BARQUERO</t>
  </si>
  <si>
    <t>46787704T</t>
  </si>
  <si>
    <t>JAVIER MOLINA</t>
  </si>
  <si>
    <t>38086461W</t>
  </si>
  <si>
    <t>PEDRO JOSE JIMENEZ</t>
  </si>
  <si>
    <t>46794623L</t>
  </si>
  <si>
    <t>JOSE MESA</t>
  </si>
  <si>
    <t>37361880T</t>
  </si>
  <si>
    <t>NORBERTO RAMIREZ</t>
  </si>
  <si>
    <t>46794553H</t>
  </si>
  <si>
    <t>MP CONSTRUCCIONES</t>
  </si>
  <si>
    <t>OMAR ZHILIGA</t>
  </si>
  <si>
    <t>Y6477618G</t>
  </si>
  <si>
    <t>MOHAMED ERREY</t>
  </si>
  <si>
    <t>X3973592C</t>
  </si>
  <si>
    <t>YOUSSEF EL MAAROUFI</t>
  </si>
  <si>
    <t>54852590M</t>
  </si>
  <si>
    <t>CRISTIAN MARTIN</t>
  </si>
  <si>
    <t>47839143V</t>
  </si>
  <si>
    <t>CESAR CECILIO</t>
  </si>
  <si>
    <t>Y5814521C</t>
  </si>
  <si>
    <t>ALEJANDRO LOPEZ</t>
  </si>
  <si>
    <t>39883179Y</t>
  </si>
  <si>
    <t>IONEL FRUJA</t>
  </si>
  <si>
    <t>X8361009A</t>
  </si>
  <si>
    <t>ALEXANDRU POP</t>
  </si>
  <si>
    <t>X6176390Q</t>
  </si>
  <si>
    <t>VASIL MELENCIUC</t>
  </si>
  <si>
    <t>X6650598X</t>
  </si>
  <si>
    <t>SIMION PINTICAN</t>
  </si>
  <si>
    <t>X3402125B</t>
  </si>
  <si>
    <t>39366664W</t>
  </si>
  <si>
    <t>47111464N</t>
  </si>
  <si>
    <t>47107788Q</t>
  </si>
  <si>
    <t>39387771H</t>
  </si>
  <si>
    <t>39357199J</t>
  </si>
  <si>
    <t>39347773V</t>
  </si>
  <si>
    <t>39356617Y</t>
  </si>
  <si>
    <t>46776221V</t>
  </si>
  <si>
    <t>53326999G</t>
  </si>
  <si>
    <t>47262245M</t>
  </si>
  <si>
    <t>78581128H</t>
  </si>
  <si>
    <t>40927017N</t>
  </si>
  <si>
    <t>X5382009D</t>
  </si>
  <si>
    <t>52687076X</t>
  </si>
  <si>
    <t>47757367Y</t>
  </si>
  <si>
    <t>48021654T</t>
  </si>
  <si>
    <t>X3526629P</t>
  </si>
  <si>
    <t>X8783511H</t>
  </si>
  <si>
    <t>X6238951V</t>
  </si>
  <si>
    <t>X3847998Y</t>
  </si>
  <si>
    <t>39891411G</t>
  </si>
  <si>
    <t>39725717N</t>
  </si>
  <si>
    <t>31037318Z</t>
  </si>
  <si>
    <t>X6383683X</t>
  </si>
  <si>
    <t>X2671396S</t>
  </si>
  <si>
    <t>21777853G</t>
  </si>
  <si>
    <t>21770023V</t>
  </si>
  <si>
    <t>53971469Z</t>
  </si>
  <si>
    <t>X1373618N</t>
  </si>
  <si>
    <t>47924515J</t>
  </si>
  <si>
    <t>X8333072B</t>
  </si>
  <si>
    <t>73205316L</t>
  </si>
  <si>
    <t>X4495924E</t>
  </si>
  <si>
    <t>26758713F</t>
  </si>
  <si>
    <t>SURIS</t>
  </si>
  <si>
    <t>RAUL PEREZ</t>
  </si>
  <si>
    <t>53060727A</t>
  </si>
  <si>
    <t>RICARDO ROJAS</t>
  </si>
  <si>
    <t>X6470769J</t>
  </si>
  <si>
    <t>IVAN SIMON</t>
  </si>
  <si>
    <t>53286543M</t>
  </si>
  <si>
    <t>DAVID FONDON</t>
  </si>
  <si>
    <t>52623676K</t>
  </si>
  <si>
    <t>JOSE MANUEL LORA</t>
  </si>
  <si>
    <t>79271526W</t>
  </si>
  <si>
    <t>AIRMATIC</t>
  </si>
  <si>
    <t>DIEGO NIEBLA</t>
  </si>
  <si>
    <t>38550878A</t>
  </si>
  <si>
    <t>THYSSEN</t>
  </si>
  <si>
    <t>CARLOS CARPIO</t>
  </si>
  <si>
    <t>38097844T</t>
  </si>
  <si>
    <t>AUTONOMO</t>
  </si>
  <si>
    <t>LIDIA GARCIA</t>
  </si>
  <si>
    <t>ARACELI LOPEZ</t>
  </si>
  <si>
    <t>PERSONAS DENTRO DE PLANTA</t>
  </si>
  <si>
    <t>38054692L</t>
  </si>
  <si>
    <t>X5894419N</t>
  </si>
  <si>
    <t>74546798P</t>
  </si>
  <si>
    <t>52149791M</t>
  </si>
  <si>
    <t>49806285S</t>
  </si>
  <si>
    <t>47784194S</t>
  </si>
  <si>
    <t>X2056762X</t>
  </si>
  <si>
    <t>47631029F</t>
  </si>
  <si>
    <t>39529127Q</t>
  </si>
  <si>
    <t>Y0208133C</t>
  </si>
  <si>
    <t>43584756D</t>
  </si>
  <si>
    <t>X7243827T</t>
  </si>
  <si>
    <t>JAVIER MELGUIZO</t>
  </si>
  <si>
    <t>47668929A</t>
  </si>
  <si>
    <t>43686668P</t>
  </si>
  <si>
    <t>46592638C</t>
  </si>
  <si>
    <t>78085188G</t>
  </si>
  <si>
    <t>77677268N</t>
  </si>
  <si>
    <t>44023406A</t>
  </si>
  <si>
    <t>Y7177788P</t>
  </si>
  <si>
    <t>33559405J</t>
  </si>
  <si>
    <t>Y7985279A</t>
  </si>
  <si>
    <t>39738615C</t>
  </si>
  <si>
    <t>36524574E</t>
  </si>
  <si>
    <t>34733691B</t>
  </si>
  <si>
    <t>53335794J</t>
  </si>
  <si>
    <t>46478221M</t>
  </si>
  <si>
    <t>23049445H</t>
  </si>
  <si>
    <t>MARC PUJOL</t>
  </si>
  <si>
    <t>EDUARD BLANCO</t>
  </si>
  <si>
    <t>ROLLS ROYCE - T.CORNET</t>
  </si>
  <si>
    <t>53077102W</t>
  </si>
  <si>
    <t>PRESENTACIÓN</t>
  </si>
  <si>
    <t>ALMACENAJE</t>
  </si>
  <si>
    <t>PRODUCTO</t>
  </si>
  <si>
    <t>PROVEEDOR</t>
  </si>
  <si>
    <t>NOMBRE COMERCIAL</t>
  </si>
  <si>
    <t>ACEITE MINERAL</t>
  </si>
  <si>
    <t>COGELSA</t>
  </si>
  <si>
    <t>GRG</t>
  </si>
  <si>
    <t>ACIDO CÍTRICO</t>
  </si>
  <si>
    <t>BARCELONES</t>
  </si>
  <si>
    <t>PALETS CON SACAS</t>
  </si>
  <si>
    <t>PREPARACIÓN, ALMACÉN DE PRODUCTOS DE REFINERÍA</t>
  </si>
  <si>
    <t xml:space="preserve">ULTRATERMIC P - 6 </t>
  </si>
  <si>
    <t>ACIDO CÍTRICO 1 - H ALIMENTARIO</t>
  </si>
  <si>
    <t>BIOCIDA</t>
  </si>
  <si>
    <t>ALMACÉN DE QUÍMICOS, AL LADO DE CONGENERACIÓN</t>
  </si>
  <si>
    <t>FORMAD-PLUS</t>
  </si>
  <si>
    <t>BIOCIDA PARA ENERSOY</t>
  </si>
  <si>
    <t>FORMAD-DRY</t>
  </si>
  <si>
    <t>CARBÓN ACTIVO</t>
  </si>
  <si>
    <t>OMYA CLARIANA</t>
  </si>
  <si>
    <t>NORIT SA 4 PAH</t>
  </si>
  <si>
    <t>COAGULANTE</t>
  </si>
  <si>
    <t>STENCOFLOC-6020-T</t>
  </si>
  <si>
    <t>TIERRAS DECOLANTES</t>
  </si>
  <si>
    <t>CLARIANT</t>
  </si>
  <si>
    <t>BIG BAGS DE 1000 KG</t>
  </si>
  <si>
    <t>TONSIL 372 / TONSIL 112F</t>
  </si>
  <si>
    <t>TIERRAS FILTRANTES</t>
  </si>
  <si>
    <t>AGROVIN</t>
  </si>
  <si>
    <t>RADIFILL</t>
  </si>
  <si>
    <t>DEPARTAMENTO</t>
  </si>
  <si>
    <t>ACEFESA</t>
  </si>
  <si>
    <t>AIR LIQUIDE</t>
  </si>
  <si>
    <t>AGILENT</t>
  </si>
  <si>
    <t>APPLIED</t>
  </si>
  <si>
    <t>BIOMERIEUX</t>
  </si>
  <si>
    <t>BIOSER</t>
  </si>
  <si>
    <t>BUNZL</t>
  </si>
  <si>
    <t>BUNZL-HICOSA</t>
  </si>
  <si>
    <t>COMERCIAL BOLSERA</t>
  </si>
  <si>
    <t>DINÁMICA DISTRIBUCIONES</t>
  </si>
  <si>
    <t>FOSS</t>
  </si>
  <si>
    <t>GUMMI</t>
  </si>
  <si>
    <t>LECO</t>
  </si>
  <si>
    <t>LGC STANDARDS</t>
  </si>
  <si>
    <t>VWR</t>
  </si>
  <si>
    <t>MASSÓ ANALÍTICS</t>
  </si>
  <si>
    <t>MIELE</t>
  </si>
  <si>
    <t>PANREAC</t>
  </si>
  <si>
    <t>PRECINTIA INTERNATIONAL</t>
  </si>
  <si>
    <t>ROYAL PACK</t>
  </si>
  <si>
    <t>SCHARLAB</t>
  </si>
  <si>
    <t>SCHARLAU</t>
  </si>
  <si>
    <t>SERVIQUIMIA</t>
  </si>
  <si>
    <t>SGL</t>
  </si>
  <si>
    <t>SIGMA-ALDRICH</t>
  </si>
  <si>
    <t>TEKNOKROMA</t>
  </si>
  <si>
    <t>THERMOFISHER</t>
  </si>
  <si>
    <t>VIDRAFOC</t>
  </si>
  <si>
    <t>EXTENSIÓN</t>
  </si>
  <si>
    <t>PUESTO DE TRABAJO</t>
  </si>
  <si>
    <t>PLANTILLA HORARIOS</t>
  </si>
  <si>
    <t>PLANTILLA LISTA TELÉFONOS</t>
  </si>
  <si>
    <t>DEP. TECNICO</t>
  </si>
  <si>
    <t>JEFE DE TURNO</t>
  </si>
  <si>
    <t>SEGURIDAD</t>
  </si>
  <si>
    <t>JOSE ONTENIENTE</t>
  </si>
  <si>
    <t>MARIA ARAUJO</t>
  </si>
  <si>
    <t>MEDIO AMBIENTE</t>
  </si>
  <si>
    <t>PROYECTOS</t>
  </si>
  <si>
    <t>XAVI MARTORELL</t>
  </si>
  <si>
    <t>PALISTA</t>
  </si>
  <si>
    <t>TORRE MAQUINARIA</t>
  </si>
  <si>
    <t>FREMAP</t>
  </si>
  <si>
    <t>DIRECCION</t>
  </si>
  <si>
    <t>RESPONSABLE SEGURIDAD</t>
  </si>
  <si>
    <t>DIRECTOR DE FABRICA</t>
  </si>
  <si>
    <t>RESPONSABLE PRODUCCION</t>
  </si>
  <si>
    <r>
      <t>630439461 /</t>
    </r>
    <r>
      <rPr>
        <b/>
        <sz val="12"/>
        <color rgb="FFFF0000"/>
        <rFont val="Calibri"/>
        <family val="2"/>
        <scheme val="minor"/>
      </rPr>
      <t xml:space="preserve"> (P) 609786609</t>
    </r>
  </si>
  <si>
    <t>RESPONSABLE DE TURNO</t>
  </si>
  <si>
    <t>MANTENIMINETO</t>
  </si>
  <si>
    <t>FRANCO AVARO</t>
  </si>
  <si>
    <t>RESPONSABLE MANTENIMIENTO</t>
  </si>
  <si>
    <t>IRATI ZAVALO</t>
  </si>
  <si>
    <t>OPERARIO MANTENIMENTO</t>
  </si>
  <si>
    <t>SUPERVISO MECANICO</t>
  </si>
  <si>
    <t>REPONSABLE ELECTRICO</t>
  </si>
  <si>
    <t>SUPERVISO INSTRUMENTACION</t>
  </si>
  <si>
    <t>SUPERVISO ALMACEN</t>
  </si>
  <si>
    <t>PRODUCCION</t>
  </si>
  <si>
    <r>
      <t xml:space="preserve">630439342 / </t>
    </r>
    <r>
      <rPr>
        <b/>
        <sz val="12"/>
        <color rgb="FFFF0000"/>
        <rFont val="Calibri"/>
        <family val="2"/>
        <scheme val="minor"/>
      </rPr>
      <t>(E) 639548011</t>
    </r>
  </si>
  <si>
    <t>RAMON ARANLOT</t>
  </si>
  <si>
    <t>SUPERVISORA LABORATORIO</t>
  </si>
  <si>
    <t>MICROBIOLOGIA</t>
  </si>
  <si>
    <t>MARTIN TERRADEZ</t>
  </si>
  <si>
    <t>ADMINISTRACION</t>
  </si>
  <si>
    <t>AZAHARA CANTON</t>
  </si>
  <si>
    <t>RRHH (CUANDO ESTA EN PLANTA)</t>
  </si>
  <si>
    <t>COORDINADOR DE CALIDA</t>
  </si>
  <si>
    <t>COORDINADORA DE CALIDA</t>
  </si>
  <si>
    <t>ALEJANDRO HIJANO</t>
  </si>
  <si>
    <t>SOLO CUANDO ESTA EN PLANTA</t>
  </si>
  <si>
    <t xml:space="preserve">CHRISTIAN RUBIO </t>
  </si>
  <si>
    <t>JESUS HIDALGO</t>
  </si>
  <si>
    <t xml:space="preserve">CARGA DE ACEITE </t>
  </si>
  <si>
    <t>RICARD MASQUE</t>
  </si>
  <si>
    <t>OSCAR / PEDRO</t>
  </si>
  <si>
    <t>934421455 (FAX)</t>
  </si>
  <si>
    <t>DANIEL CEBRIAN</t>
  </si>
  <si>
    <t>ENCARGADO ALCESA</t>
  </si>
  <si>
    <t>RAUL SILVA</t>
  </si>
  <si>
    <t>ENCAGADO DEYSE (LIMPIEZA)</t>
  </si>
  <si>
    <t>ESPERANZA VELASCO</t>
  </si>
  <si>
    <t>LIMPIADORA</t>
  </si>
  <si>
    <t>SALA REUNIONES</t>
  </si>
  <si>
    <t>PREPARACION</t>
  </si>
  <si>
    <t>ELECTRICO</t>
  </si>
  <si>
    <t>ALEX JIMENEZ</t>
  </si>
  <si>
    <t>BUNGE BILBAO</t>
  </si>
  <si>
    <t>ALBARÁN LABORATORI (AIR LIQUIDE)</t>
  </si>
  <si>
    <t>BUNGE CARTAGENA</t>
  </si>
  <si>
    <t>BUNGE CORUÑA</t>
  </si>
  <si>
    <t>EXTRACCION</t>
  </si>
  <si>
    <t>CALDERAS</t>
  </si>
  <si>
    <t>CROMATOGRAFIA</t>
  </si>
  <si>
    <t>DEP.TECNICO</t>
  </si>
  <si>
    <t>COORINADORA MEDIO AMBIENTE</t>
  </si>
  <si>
    <t>CONTROL ACCESOS</t>
  </si>
  <si>
    <t>ASCENSOR TORRE MAQUINARI</t>
  </si>
  <si>
    <t>ASCENSOR PREPARACION</t>
  </si>
  <si>
    <t>PLANTAS DE EXPEDICIONES</t>
  </si>
  <si>
    <t>CINTA ERGRANSA</t>
  </si>
  <si>
    <t>SALA REUNIONES INFORMATICA</t>
  </si>
  <si>
    <t>COMITE DE EMPRESA</t>
  </si>
  <si>
    <t>VESTUARIOS JEFES PLANTA</t>
  </si>
  <si>
    <t>SALA DE JUNTAS</t>
  </si>
  <si>
    <t>TALLER MECANICO</t>
  </si>
  <si>
    <t>SALA CONTROL CONGENERACION</t>
  </si>
  <si>
    <t>SALA DISYUNTORES ALTA TENSION CONGENERACION</t>
  </si>
  <si>
    <t>SALA ELECTRICA SECCIONES 1300</t>
  </si>
  <si>
    <t>SALA ELECTRICA SECCIONES CC+500</t>
  </si>
  <si>
    <t>CENTRO D TRANSFORMACION</t>
  </si>
  <si>
    <t>SALA ELECTRICA SECCION 400</t>
  </si>
  <si>
    <t>SALA ELECTRICA SECCION 300+300</t>
  </si>
  <si>
    <t>SALA ELECTRICA SECCION 100+200</t>
  </si>
  <si>
    <t>SALA ELECTRICA SECADERO</t>
  </si>
  <si>
    <t>SALA ELECTRICA SECCION 900+1000</t>
  </si>
  <si>
    <t>SALA ELECTRICA TRATAMIENTO DE AGUAS</t>
  </si>
  <si>
    <t>EMERGENCIAS</t>
  </si>
  <si>
    <t>BOMBEROS</t>
  </si>
  <si>
    <t>080</t>
  </si>
  <si>
    <t>CECAT</t>
  </si>
  <si>
    <t>CENTRAL DE SANT JUST</t>
  </si>
  <si>
    <t>PLAN DE AUTOPROTECCION</t>
  </si>
  <si>
    <t>PLAN INTERIOR MARITIMO (VERTIDO A MAR)</t>
  </si>
  <si>
    <t>MOORING</t>
  </si>
  <si>
    <t>ACTIVACION DEL PIM</t>
  </si>
  <si>
    <t>CENTRO COORDINACION DE SALVAMENTO MARITIMO DE BARCELONA (CCS BARCELONA)</t>
  </si>
  <si>
    <t>POLICIA PORTUARIA (CECOPORT)</t>
  </si>
  <si>
    <t>CENTRO DE CONTRO PUERTO (POLICIA PORTUARIA)</t>
  </si>
  <si>
    <t xml:space="preserve"> </t>
  </si>
  <si>
    <t>JOSEP M. GUINOVART</t>
  </si>
  <si>
    <t>PLANTILLA LISTA MERCANCÍAS</t>
  </si>
  <si>
    <t>NÚM. MÓVIL</t>
  </si>
  <si>
    <t>ALMACÉN QUÍMICOS, AL LADO DE CONGENERACIÓN</t>
  </si>
  <si>
    <t>MATRÍCULA VEHÍCULO</t>
  </si>
  <si>
    <t>MATRÍCULA REMOLQUE</t>
  </si>
  <si>
    <t>RECIPCIÓN Y ENVÍO DE PAQUETES</t>
  </si>
  <si>
    <t>ENVÍO</t>
  </si>
  <si>
    <t>AUTORIZA JEFE DE TURNO</t>
  </si>
  <si>
    <t>ACCESO A NAVE POR LADO TARRAGONA PUERTA CORREDERA LADO MAR</t>
  </si>
  <si>
    <t>ARMARIO INTERVENCIÓN BOMBEROS</t>
  </si>
  <si>
    <t>SALA ELÉCTRICA</t>
  </si>
  <si>
    <t>SALA ELÉCTRICA SEC. 100-200</t>
  </si>
  <si>
    <t>SALA ELÉCTRICA SEC. 300+800</t>
  </si>
  <si>
    <t>SALA ELÉCTRICA SEC. 400+600+700</t>
  </si>
  <si>
    <t>SALA ELÉCTRICA SEC. 00+500+1100+23000 PUERTA INTERIOR</t>
  </si>
  <si>
    <t>GRUPO ELÉCTRICO</t>
  </si>
  <si>
    <t>CONTROL BÁSCULA</t>
  </si>
  <si>
    <t>COPIA EXPEDICIÓN Y CASETA CHÓFERS</t>
  </si>
  <si>
    <t>ACCESO A  BÁSCULA</t>
  </si>
  <si>
    <t>ACCESO A CUADRO SINÓPTICO (RENFE)</t>
  </si>
  <si>
    <t>SALA ELÉCTRICA SEC 1300</t>
  </si>
  <si>
    <t>MECÁNICO</t>
  </si>
  <si>
    <t>HUECO ESCALERA OFICINAS PRIMERA PLANTA</t>
  </si>
  <si>
    <t>CAJAS VÍDEOS</t>
  </si>
  <si>
    <t>OFICINA TÉCNICA LADO MONTAÑA</t>
  </si>
  <si>
    <t>TALLER ELÉCTRICO</t>
  </si>
  <si>
    <t>COPIA ALMACÉN DE REPUESTOS</t>
  </si>
  <si>
    <t>COPIA DESPACHO MARÍA ARAÚJO</t>
  </si>
  <si>
    <t>OFICINA TÉCNICA</t>
  </si>
  <si>
    <t>OFICINA TÉCNICA PUERTA ALBANO</t>
  </si>
  <si>
    <t>PUERTA LABORATORIO LADO MAR</t>
  </si>
  <si>
    <t>SALA REUNIÓN COMITE</t>
  </si>
  <si>
    <t>ARMARIO BOTIQUÍN</t>
  </si>
  <si>
    <t>COPIA DESPACHO EN ALMACÉN CPQ 1ª PLANTA</t>
  </si>
  <si>
    <t>DESPACHO EN ALMACÉN CPQ 1ª PLANTA</t>
  </si>
  <si>
    <t>COPIA DESPACHO MARTÍN TERRÁDEZ</t>
  </si>
  <si>
    <t>SALAS ELÉCTRICAS</t>
  </si>
  <si>
    <t>ALMACÉN QUÍMICOS</t>
  </si>
  <si>
    <t>ALMACÉN DE REPUESTOS</t>
  </si>
  <si>
    <t>DESPACHO MARÍA ARAÚJO</t>
  </si>
  <si>
    <t>DESPACHO INGRID</t>
  </si>
  <si>
    <t>LABORATORIO CROMATOGRAFÍA</t>
  </si>
  <si>
    <t>POLIPASTO CENTRÍFUGAS</t>
  </si>
  <si>
    <t>BOTIQUÍN</t>
  </si>
  <si>
    <t>BD BUNGE</t>
  </si>
  <si>
    <t>RICARDO CEBRIAN</t>
  </si>
  <si>
    <t>JOSE Mª SANCHEZ</t>
  </si>
  <si>
    <t>EUTIQUIANO GARCIA</t>
  </si>
  <si>
    <t>ISRAEL PEREZ</t>
  </si>
  <si>
    <t>JOSE LUIS LAZARO</t>
  </si>
  <si>
    <t>MANUEL MARTIN</t>
  </si>
  <si>
    <t>RAMON ARNALOT</t>
  </si>
  <si>
    <t>MARGARITA DAVILA</t>
  </si>
  <si>
    <t>JOSE ANTONIO MARIN</t>
  </si>
  <si>
    <t>MARCELINO GUTIERREZ</t>
  </si>
  <si>
    <t>DAVID GOMEZ</t>
  </si>
  <si>
    <t>JORDI GARCIA</t>
  </si>
  <si>
    <t>JUAN CARLOS  MARTINEZ</t>
  </si>
  <si>
    <t>JORDI FA</t>
  </si>
  <si>
    <t>JAIME FORNIES</t>
  </si>
  <si>
    <t>MIGUEL GOMEZ</t>
  </si>
  <si>
    <t>DAVID GONZALEZ</t>
  </si>
  <si>
    <t>ANTONIO GRACIA</t>
  </si>
  <si>
    <t>JUAN ANTONIO GOMEZ</t>
  </si>
  <si>
    <t xml:space="preserve">BARBARA FERNANDEZ </t>
  </si>
  <si>
    <t xml:space="preserve">ALEJANDRO DIVISON </t>
  </si>
  <si>
    <t>JUAN GUTIERREZ</t>
  </si>
  <si>
    <t>JUAN D. MARTINEZ</t>
  </si>
  <si>
    <t>CRISTIAN GONZALEZ</t>
  </si>
  <si>
    <t>JOSE ANGEL MAYO</t>
  </si>
  <si>
    <t>DAVID LOPEZ VARA</t>
  </si>
  <si>
    <t>FRANCISCO PEREZ</t>
  </si>
  <si>
    <t>SITUACIÓN</t>
  </si>
  <si>
    <t>JAIME ATILIO ALBA</t>
  </si>
  <si>
    <t>21762779H</t>
  </si>
  <si>
    <t>CESAR ALI MOSSRE</t>
  </si>
  <si>
    <t>32963845X</t>
  </si>
  <si>
    <t>TGD</t>
  </si>
  <si>
    <t>JEREMIAS ISNARDI</t>
  </si>
  <si>
    <t>34792484N</t>
  </si>
  <si>
    <t>CARLOS SAN PABLO</t>
  </si>
  <si>
    <t>MARC RUIZ</t>
  </si>
  <si>
    <t>47331790K</t>
  </si>
  <si>
    <t>SERGIO CUDOS</t>
  </si>
  <si>
    <t>STEFAN MOT</t>
  </si>
  <si>
    <t>CHRISTIAN RUBIO</t>
  </si>
  <si>
    <t>ANTONI VICENTE</t>
  </si>
  <si>
    <t>46734531A</t>
  </si>
  <si>
    <t>NICASIO J. SALESA</t>
  </si>
  <si>
    <t>18433997A</t>
  </si>
  <si>
    <t>OSCAR MARTIN</t>
  </si>
  <si>
    <t>39734884S</t>
  </si>
  <si>
    <t>JORGE COLOME</t>
  </si>
  <si>
    <t>39684930V</t>
  </si>
  <si>
    <t>JOSE ANTONIO GOMEZ</t>
  </si>
  <si>
    <t>NACEX</t>
  </si>
  <si>
    <t>CONTROL DE ACCESO PERSONAL</t>
  </si>
  <si>
    <t>GUSTAVO SEÑORANS</t>
  </si>
  <si>
    <t>35472765A</t>
  </si>
  <si>
    <t>RAFAEL MONTERO PEREZ</t>
  </si>
  <si>
    <t>063000159E</t>
  </si>
  <si>
    <t>MARIAN BRATU</t>
  </si>
  <si>
    <t>X5810209M</t>
  </si>
  <si>
    <t>DESPOSITO STENCO</t>
  </si>
  <si>
    <t>CAZADORA AZUL</t>
  </si>
  <si>
    <t>21769712M</t>
  </si>
  <si>
    <t>VICTOR ANTONIO CHAVEZ</t>
  </si>
  <si>
    <t>FRANCISCO SANCHEZ</t>
  </si>
  <si>
    <t>45834124T</t>
  </si>
  <si>
    <t>46792013P</t>
  </si>
  <si>
    <t>HYDROCLEAN</t>
  </si>
  <si>
    <t>JUAN CARLO REILLO</t>
  </si>
  <si>
    <t>IRATI ZABALO</t>
  </si>
  <si>
    <t>JOSE VICENTE GALVAÑ</t>
  </si>
  <si>
    <t>40533607V</t>
  </si>
  <si>
    <t>VESTUARIO JEFES</t>
  </si>
  <si>
    <t>LAURA GARCIA</t>
  </si>
  <si>
    <t>JAVIER ESPINOSA</t>
  </si>
  <si>
    <t>35117808M</t>
  </si>
  <si>
    <t>PEDRO GALAN</t>
  </si>
  <si>
    <t>JUAN JOSE TRUJILLO</t>
  </si>
  <si>
    <t>SERGI FERNANDEZ</t>
  </si>
  <si>
    <t>HYDROCLEAR</t>
  </si>
  <si>
    <t>53310757T</t>
  </si>
  <si>
    <t>MARCOS PRADOS GONZALEZ</t>
  </si>
  <si>
    <t>JOSE MORENO GARRIDO</t>
  </si>
  <si>
    <t>46591188L</t>
  </si>
  <si>
    <t>NICOLAS MELERO</t>
  </si>
  <si>
    <t>47617720S</t>
  </si>
  <si>
    <t>JOSE TORRES JIMENEZ</t>
  </si>
  <si>
    <t>46457900Q</t>
  </si>
  <si>
    <t>BUNGE SANT JUST</t>
  </si>
  <si>
    <t>CLAUDINAEI AFREITAS</t>
  </si>
  <si>
    <t>MT BRANDAO</t>
  </si>
  <si>
    <t>JOSE MANUEL RAMOS</t>
  </si>
  <si>
    <t>ANATRAC</t>
  </si>
  <si>
    <t>DONATO</t>
  </si>
  <si>
    <t>ERGRANSA</t>
  </si>
  <si>
    <t>GIROPUC</t>
  </si>
  <si>
    <t>CARLOS CAPA</t>
  </si>
  <si>
    <t>LLINAS</t>
  </si>
  <si>
    <t>CARLOS</t>
  </si>
  <si>
    <t>GAM</t>
  </si>
  <si>
    <t>MAQUINA VENDING</t>
  </si>
  <si>
    <t>MIRIAN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</si>
</sst>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;[Red]0"/>
    <numFmt numFmtId="165" formatCode="h:mm;@"/>
  </numFmts>
  <fonts count="39" x14ac:knownFonts="1">
    <font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A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31849B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4F81BD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7" tint="0.59999389629810485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 diagonalDown="1">
      <left/>
      <right/>
      <top/>
      <bottom/>
      <diagonal style="thick">
        <color indexed="64"/>
      </diagonal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thick">
        <color indexed="64"/>
      </left>
      <right/>
      <top/>
      <bottom/>
      <diagonal style="thick">
        <color indexed="64"/>
      </diagonal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 diagonalDown="1">
      <left/>
      <right/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35" fillId="0" borderId="0" applyNumberFormat="0" applyFill="0" applyBorder="0" applyAlignment="0" applyProtection="0"/>
  </cellStyleXfs>
  <cellXfs count="328">
    <xf numFmtId="0" fontId="0" fillId="0" borderId="0" xfId="0"/>
    <xf numFmtId="14" fontId="2" fillId="0" borderId="9" xfId="0" applyNumberFormat="1" applyFont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164" fontId="2" fillId="4" borderId="9" xfId="0" applyNumberFormat="1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vertical="center"/>
      <protection hidden="1"/>
    </xf>
    <xf numFmtId="0" fontId="2" fillId="2" borderId="0" xfId="0" applyFont="1" applyFill="1" applyBorder="1" applyAlignment="1" applyProtection="1">
      <alignment vertical="center"/>
      <protection hidden="1"/>
    </xf>
    <xf numFmtId="0" fontId="2" fillId="5" borderId="0" xfId="0" applyFont="1" applyFill="1" applyBorder="1" applyAlignment="1" applyProtection="1">
      <alignment horizontal="center" vertical="center" wrapText="1"/>
      <protection hidden="1"/>
    </xf>
    <xf numFmtId="164" fontId="2" fillId="5" borderId="0" xfId="0" applyNumberFormat="1" applyFont="1" applyFill="1" applyBorder="1" applyAlignment="1" applyProtection="1">
      <alignment horizontal="center" vertical="center" wrapText="1"/>
      <protection hidden="1"/>
    </xf>
    <xf numFmtId="14" fontId="2" fillId="5" borderId="0" xfId="0" applyNumberFormat="1" applyFont="1" applyFill="1" applyBorder="1" applyAlignment="1" applyProtection="1">
      <alignment horizontal="center" vertical="center" wrapText="1"/>
      <protection hidden="1"/>
    </xf>
    <xf numFmtId="164" fontId="3" fillId="5" borderId="0" xfId="0" applyNumberFormat="1" applyFont="1" applyFill="1" applyBorder="1" applyAlignment="1" applyProtection="1">
      <alignment horizontal="center" vertical="center" wrapText="1"/>
      <protection hidden="1"/>
    </xf>
    <xf numFmtId="0" fontId="4" fillId="5" borderId="0" xfId="0" applyFont="1" applyFill="1" applyBorder="1" applyAlignment="1" applyProtection="1">
      <alignment horizontal="center" vertical="center" wrapText="1"/>
      <protection hidden="1"/>
    </xf>
    <xf numFmtId="20" fontId="2" fillId="0" borderId="9" xfId="0" applyNumberFormat="1" applyFont="1" applyBorder="1" applyAlignment="1" applyProtection="1">
      <alignment horizontal="center" vertical="center" wrapText="1"/>
      <protection hidden="1"/>
    </xf>
    <xf numFmtId="20" fontId="2" fillId="6" borderId="9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2" fillId="4" borderId="31" xfId="0" applyFont="1" applyFill="1" applyBorder="1" applyAlignment="1" applyProtection="1">
      <alignment horizontal="center" vertical="center"/>
      <protection hidden="1"/>
    </xf>
    <xf numFmtId="164" fontId="2" fillId="4" borderId="31" xfId="0" applyNumberFormat="1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164" fontId="2" fillId="5" borderId="0" xfId="0" applyNumberFormat="1" applyFont="1" applyFill="1" applyBorder="1" applyAlignment="1" applyProtection="1">
      <alignment horizontal="center" vertical="center"/>
      <protection hidden="1"/>
    </xf>
    <xf numFmtId="14" fontId="2" fillId="5" borderId="0" xfId="0" applyNumberFormat="1" applyFont="1" applyFill="1" applyBorder="1" applyAlignment="1" applyProtection="1">
      <alignment horizontal="center" vertical="center"/>
      <protection hidden="1"/>
    </xf>
    <xf numFmtId="164" fontId="3" fillId="5" borderId="0" xfId="0" applyNumberFormat="1" applyFont="1" applyFill="1" applyBorder="1" applyAlignment="1" applyProtection="1">
      <alignment horizontal="center" vertic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20" fontId="2" fillId="5" borderId="9" xfId="0" applyNumberFormat="1" applyFont="1" applyFill="1" applyBorder="1" applyAlignment="1" applyProtection="1">
      <alignment horizontal="center" vertical="center" wrapText="1"/>
      <protection hidden="1"/>
    </xf>
    <xf numFmtId="0" fontId="2" fillId="5" borderId="9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2" fillId="8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14" fontId="2" fillId="0" borderId="0" xfId="0" applyNumberFormat="1" applyFont="1" applyBorder="1" applyAlignment="1" applyProtection="1">
      <alignment horizontal="center" vertical="center"/>
      <protection hidden="1"/>
    </xf>
    <xf numFmtId="164" fontId="3" fillId="0" borderId="0" xfId="0" applyNumberFormat="1" applyFont="1" applyBorder="1" applyAlignment="1" applyProtection="1">
      <alignment horizontal="center" vertical="center"/>
      <protection hidden="1"/>
    </xf>
    <xf numFmtId="0" fontId="4" fillId="7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5" borderId="0" xfId="0" applyFill="1" applyBorder="1" applyProtection="1">
      <protection hidden="1"/>
    </xf>
    <xf numFmtId="0" fontId="0" fillId="5" borderId="0" xfId="0" applyFill="1" applyBorder="1" applyAlignment="1" applyProtection="1">
      <protection hidden="1"/>
    </xf>
    <xf numFmtId="0" fontId="2" fillId="2" borderId="3" xfId="0" applyFont="1" applyFill="1" applyBorder="1" applyAlignment="1" applyProtection="1">
      <alignment vertical="center"/>
      <protection hidden="1"/>
    </xf>
    <xf numFmtId="0" fontId="2" fillId="2" borderId="5" xfId="0" applyFont="1" applyFill="1" applyBorder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14" fontId="2" fillId="0" borderId="9" xfId="0" applyNumberFormat="1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164" fontId="3" fillId="0" borderId="9" xfId="0" applyNumberFormat="1" applyFont="1" applyBorder="1" applyAlignment="1" applyProtection="1">
      <alignment horizontal="center" vertical="center"/>
      <protection locked="0"/>
    </xf>
    <xf numFmtId="0" fontId="4" fillId="7" borderId="9" xfId="0" applyFont="1" applyFill="1" applyBorder="1" applyAlignment="1" applyProtection="1">
      <alignment horizontal="center" vertical="center"/>
      <protection locked="0"/>
    </xf>
    <xf numFmtId="0" fontId="13" fillId="10" borderId="9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36" fillId="0" borderId="9" xfId="1" applyFont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14" fontId="2" fillId="0" borderId="10" xfId="0" applyNumberFormat="1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20" fontId="2" fillId="4" borderId="9" xfId="0" applyNumberFormat="1" applyFont="1" applyFill="1" applyBorder="1" applyAlignment="1" applyProtection="1">
      <alignment horizontal="center" vertical="center"/>
      <protection hidden="1"/>
    </xf>
    <xf numFmtId="0" fontId="3" fillId="5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Border="1" applyAlignment="1" applyProtection="1">
      <alignment horizontal="center" vertical="center"/>
      <protection hidden="1"/>
    </xf>
    <xf numFmtId="164" fontId="3" fillId="0" borderId="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0" fillId="11" borderId="0" xfId="0" applyFill="1" applyAlignment="1" applyProtection="1">
      <protection hidden="1"/>
    </xf>
    <xf numFmtId="0" fontId="0" fillId="0" borderId="6" xfId="0" applyBorder="1" applyAlignment="1" applyProtection="1">
      <protection hidden="1"/>
    </xf>
    <xf numFmtId="0" fontId="2" fillId="0" borderId="30" xfId="0" applyFont="1" applyBorder="1" applyAlignment="1" applyProtection="1">
      <alignment horizontal="center" vertical="center"/>
      <protection locked="0"/>
    </xf>
    <xf numFmtId="17" fontId="2" fillId="0" borderId="3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14" fontId="2" fillId="0" borderId="0" xfId="0" applyNumberFormat="1" applyFont="1" applyBorder="1" applyAlignment="1" applyProtection="1">
      <alignment horizontal="center" vertical="center"/>
      <protection locked="0"/>
    </xf>
    <xf numFmtId="164" fontId="3" fillId="0" borderId="0" xfId="0" applyNumberFormat="1" applyFont="1" applyBorder="1" applyAlignment="1" applyProtection="1">
      <alignment horizontal="center" vertical="center"/>
      <protection locked="0"/>
    </xf>
    <xf numFmtId="0" fontId="4" fillId="7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2" fillId="4" borderId="9" xfId="0" applyFont="1" applyFill="1" applyBorder="1" applyAlignment="1" applyProtection="1">
      <alignment horizontal="center" vertical="center" wrapText="1"/>
      <protection hidden="1"/>
    </xf>
    <xf numFmtId="14" fontId="2" fillId="8" borderId="9" xfId="0" applyNumberFormat="1" applyFont="1" applyFill="1" applyBorder="1" applyAlignment="1" applyProtection="1">
      <alignment horizontal="center" vertical="center" wrapText="1"/>
      <protection hidden="1"/>
    </xf>
    <xf numFmtId="165" fontId="2" fillId="8" borderId="9" xfId="0" applyNumberFormat="1" applyFont="1" applyFill="1" applyBorder="1" applyAlignment="1" applyProtection="1">
      <alignment horizontal="center" vertical="center" wrapText="1"/>
      <protection hidden="1"/>
    </xf>
    <xf numFmtId="0" fontId="2" fillId="4" borderId="10" xfId="0" applyFont="1" applyFill="1" applyBorder="1" applyAlignment="1" applyProtection="1">
      <alignment horizontal="center" vertical="center" wrapText="1"/>
      <protection hidden="1"/>
    </xf>
    <xf numFmtId="0" fontId="2" fillId="4" borderId="10" xfId="0" applyFont="1" applyFill="1" applyBorder="1" applyAlignment="1" applyProtection="1">
      <alignment horizontal="center" vertical="center"/>
      <protection hidden="1"/>
    </xf>
    <xf numFmtId="14" fontId="2" fillId="8" borderId="9" xfId="0" applyNumberFormat="1" applyFont="1" applyFill="1" applyBorder="1" applyAlignment="1" applyProtection="1">
      <alignment horizontal="center" vertical="center" wrapText="1"/>
      <protection locked="0"/>
    </xf>
    <xf numFmtId="165" fontId="2" fillId="8" borderId="9" xfId="0" applyNumberFormat="1" applyFont="1" applyFill="1" applyBorder="1" applyAlignment="1" applyProtection="1">
      <alignment horizontal="center" vertical="center" wrapText="1"/>
      <protection locked="0"/>
    </xf>
    <xf numFmtId="20" fontId="2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9" xfId="0" applyFont="1" applyFill="1" applyBorder="1" applyAlignment="1" applyProtection="1">
      <alignment horizontal="center" vertical="center" wrapText="1"/>
      <protection locked="0"/>
    </xf>
    <xf numFmtId="14" fontId="2" fillId="5" borderId="0" xfId="0" applyNumberFormat="1" applyFont="1" applyFill="1" applyBorder="1" applyAlignment="1" applyProtection="1">
      <alignment horizontal="center" vertical="center" wrapText="1"/>
      <protection locked="0"/>
    </xf>
    <xf numFmtId="165" fontId="2" fillId="5" borderId="0" xfId="0" applyNumberFormat="1" applyFont="1" applyFill="1" applyBorder="1" applyAlignment="1" applyProtection="1">
      <alignment horizontal="center" vertical="center" wrapText="1"/>
      <protection locked="0"/>
    </xf>
    <xf numFmtId="20" fontId="2" fillId="5" borderId="0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0" xfId="0" applyFont="1" applyFill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 applyAlignment="1" applyProtection="1">
      <alignment horizontal="left" vertical="center" wrapText="1"/>
      <protection hidden="1"/>
    </xf>
    <xf numFmtId="0" fontId="8" fillId="2" borderId="9" xfId="0" applyFont="1" applyFill="1" applyBorder="1" applyAlignment="1" applyProtection="1">
      <alignment horizontal="center" vertical="center"/>
      <protection hidden="1"/>
    </xf>
    <xf numFmtId="0" fontId="2" fillId="3" borderId="9" xfId="0" applyFont="1" applyFill="1" applyBorder="1" applyAlignment="1" applyProtection="1">
      <alignment horizontal="left" wrapText="1"/>
      <protection hidden="1"/>
    </xf>
    <xf numFmtId="0" fontId="8" fillId="2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2" fillId="3" borderId="11" xfId="0" applyFont="1" applyFill="1" applyBorder="1" applyAlignment="1" applyProtection="1">
      <alignment horizontal="left" wrapText="1"/>
      <protection hidden="1"/>
    </xf>
    <xf numFmtId="0" fontId="8" fillId="2" borderId="11" xfId="0" applyFont="1" applyFill="1" applyBorder="1" applyAlignment="1" applyProtection="1">
      <alignment horizontal="center" vertical="center" wrapText="1"/>
      <protection hidden="1"/>
    </xf>
    <xf numFmtId="0" fontId="2" fillId="8" borderId="9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14" fontId="0" fillId="0" borderId="0" xfId="0" applyNumberFormat="1" applyProtection="1">
      <protection locked="0"/>
    </xf>
    <xf numFmtId="1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hidden="1"/>
    </xf>
    <xf numFmtId="0" fontId="0" fillId="0" borderId="0" xfId="0" applyAlignment="1" applyProtection="1">
      <alignment wrapText="1"/>
      <protection locked="0"/>
    </xf>
    <xf numFmtId="0" fontId="5" fillId="0" borderId="0" xfId="0" applyFont="1" applyAlignment="1" applyProtection="1">
      <protection hidden="1"/>
    </xf>
    <xf numFmtId="0" fontId="2" fillId="2" borderId="60" xfId="0" applyFont="1" applyFill="1" applyBorder="1" applyAlignment="1" applyProtection="1">
      <alignment horizontal="center" vertical="center"/>
      <protection hidden="1"/>
    </xf>
    <xf numFmtId="0" fontId="2" fillId="2" borderId="7" xfId="0" applyFont="1" applyFill="1" applyBorder="1" applyAlignment="1" applyProtection="1">
      <alignment horizontal="center" vertical="center"/>
      <protection hidden="1"/>
    </xf>
    <xf numFmtId="0" fontId="2" fillId="14" borderId="7" xfId="0" applyFont="1" applyFill="1" applyBorder="1" applyAlignment="1" applyProtection="1">
      <alignment horizontal="center" vertical="center"/>
      <protection hidden="1"/>
    </xf>
    <xf numFmtId="0" fontId="2" fillId="0" borderId="60" xfId="0" applyFont="1" applyBorder="1" applyAlignment="1" applyProtection="1">
      <alignment horizontal="left" vertical="center"/>
      <protection hidden="1"/>
    </xf>
    <xf numFmtId="0" fontId="2" fillId="2" borderId="10" xfId="0" applyFont="1" applyFill="1" applyBorder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vertical="center" wrapText="1"/>
      <protection hidden="1"/>
    </xf>
    <xf numFmtId="0" fontId="2" fillId="2" borderId="9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23" fillId="5" borderId="0" xfId="0" applyFont="1" applyFill="1" applyBorder="1" applyAlignment="1" applyProtection="1">
      <alignment horizontal="center" vertical="center"/>
      <protection hidden="1"/>
    </xf>
    <xf numFmtId="17" fontId="5" fillId="5" borderId="0" xfId="0" applyNumberFormat="1" applyFont="1" applyFill="1" applyBorder="1" applyAlignment="1" applyProtection="1">
      <alignment horizontal="center" vertical="center"/>
      <protection hidden="1"/>
    </xf>
    <xf numFmtId="0" fontId="29" fillId="5" borderId="0" xfId="0" applyFont="1" applyFill="1" applyBorder="1" applyAlignment="1" applyProtection="1">
      <alignment horizontal="center" vertical="center"/>
      <protection hidden="1"/>
    </xf>
    <xf numFmtId="17" fontId="2" fillId="5" borderId="0" xfId="0" applyNumberFormat="1" applyFont="1" applyFill="1" applyBorder="1" applyAlignment="1" applyProtection="1">
      <alignment horizontal="center" vertical="center"/>
      <protection hidden="1"/>
    </xf>
    <xf numFmtId="17" fontId="30" fillId="5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protection locked="0"/>
    </xf>
    <xf numFmtId="0" fontId="24" fillId="5" borderId="0" xfId="0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 vertical="center"/>
      <protection locked="0"/>
    </xf>
    <xf numFmtId="14" fontId="5" fillId="5" borderId="0" xfId="0" applyNumberFormat="1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vertical="center"/>
      <protection locked="0"/>
    </xf>
    <xf numFmtId="0" fontId="5" fillId="5" borderId="0" xfId="0" applyFont="1" applyFill="1" applyBorder="1" applyAlignment="1" applyProtection="1">
      <protection locked="0"/>
    </xf>
    <xf numFmtId="17" fontId="5" fillId="5" borderId="0" xfId="0" applyNumberFormat="1" applyFont="1" applyFill="1" applyBorder="1" applyAlignment="1" applyProtection="1">
      <alignment horizontal="center" vertical="center"/>
      <protection locked="0"/>
    </xf>
    <xf numFmtId="0" fontId="25" fillId="5" borderId="0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Border="1" applyAlignment="1" applyProtection="1">
      <alignment horizontal="center" vertical="center"/>
      <protection locked="0"/>
    </xf>
    <xf numFmtId="0" fontId="28" fillId="5" borderId="0" xfId="0" applyFont="1" applyFill="1" applyBorder="1" applyAlignment="1" applyProtection="1">
      <alignment horizontal="center" vertical="center"/>
      <protection locked="0"/>
    </xf>
    <xf numFmtId="0" fontId="29" fillId="5" borderId="0" xfId="0" applyFont="1" applyFill="1" applyBorder="1" applyAlignment="1" applyProtection="1">
      <alignment horizontal="center" vertical="center"/>
      <protection locked="0"/>
    </xf>
    <xf numFmtId="17" fontId="2" fillId="5" borderId="0" xfId="0" applyNumberFormat="1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vertical="center"/>
      <protection locked="0"/>
    </xf>
    <xf numFmtId="17" fontId="30" fillId="5" borderId="0" xfId="0" applyNumberFormat="1" applyFont="1" applyFill="1" applyBorder="1" applyAlignment="1" applyProtection="1">
      <alignment horizontal="center" vertical="center"/>
      <protection locked="0"/>
    </xf>
    <xf numFmtId="0" fontId="22" fillId="5" borderId="0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Border="1" applyAlignment="1" applyProtection="1">
      <alignment vertical="center"/>
      <protection locked="0"/>
    </xf>
    <xf numFmtId="0" fontId="31" fillId="5" borderId="0" xfId="0" applyFont="1" applyFill="1" applyBorder="1" applyAlignment="1" applyProtection="1">
      <alignment horizontal="center" vertical="center"/>
      <protection locked="0"/>
    </xf>
    <xf numFmtId="0" fontId="0" fillId="5" borderId="34" xfId="0" applyFill="1" applyBorder="1" applyProtection="1">
      <protection hidden="1"/>
    </xf>
    <xf numFmtId="0" fontId="0" fillId="5" borderId="35" xfId="0" applyFill="1" applyBorder="1" applyProtection="1">
      <protection hidden="1"/>
    </xf>
    <xf numFmtId="0" fontId="0" fillId="5" borderId="36" xfId="0" applyFill="1" applyBorder="1" applyProtection="1">
      <protection hidden="1"/>
    </xf>
    <xf numFmtId="0" fontId="0" fillId="5" borderId="37" xfId="0" applyFill="1" applyBorder="1" applyProtection="1"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0" fontId="15" fillId="5" borderId="0" xfId="0" applyFont="1" applyFill="1" applyAlignment="1" applyProtection="1">
      <alignment horizontal="right" vertical="center"/>
      <protection hidden="1"/>
    </xf>
    <xf numFmtId="0" fontId="0" fillId="5" borderId="38" xfId="0" applyFill="1" applyBorder="1" applyProtection="1">
      <protection hidden="1"/>
    </xf>
    <xf numFmtId="0" fontId="0" fillId="5" borderId="39" xfId="0" applyFill="1" applyBorder="1" applyProtection="1">
      <protection hidden="1"/>
    </xf>
    <xf numFmtId="0" fontId="0" fillId="13" borderId="40" xfId="0" applyFill="1" applyBorder="1" applyProtection="1">
      <protection hidden="1"/>
    </xf>
    <xf numFmtId="0" fontId="0" fillId="13" borderId="42" xfId="0" applyFill="1" applyBorder="1" applyProtection="1">
      <protection hidden="1"/>
    </xf>
    <xf numFmtId="0" fontId="0" fillId="13" borderId="43" xfId="0" applyFill="1" applyBorder="1" applyProtection="1">
      <protection hidden="1"/>
    </xf>
    <xf numFmtId="0" fontId="0" fillId="5" borderId="44" xfId="0" applyFill="1" applyBorder="1" applyProtection="1">
      <protection hidden="1"/>
    </xf>
    <xf numFmtId="0" fontId="0" fillId="5" borderId="45" xfId="0" applyFill="1" applyBorder="1" applyProtection="1">
      <protection hidden="1"/>
    </xf>
    <xf numFmtId="0" fontId="0" fillId="5" borderId="46" xfId="0" applyFill="1" applyBorder="1" applyProtection="1">
      <protection hidden="1"/>
    </xf>
    <xf numFmtId="0" fontId="0" fillId="5" borderId="47" xfId="0" applyFill="1" applyBorder="1" applyProtection="1">
      <protection hidden="1"/>
    </xf>
    <xf numFmtId="0" fontId="0" fillId="13" borderId="0" xfId="0" applyFill="1" applyBorder="1" applyProtection="1">
      <protection hidden="1"/>
    </xf>
    <xf numFmtId="0" fontId="0" fillId="13" borderId="8" xfId="0" applyFill="1" applyBorder="1" applyProtection="1">
      <protection hidden="1"/>
    </xf>
    <xf numFmtId="0" fontId="0" fillId="5" borderId="34" xfId="0" applyFill="1" applyBorder="1" applyAlignment="1" applyProtection="1">
      <protection hidden="1"/>
    </xf>
    <xf numFmtId="0" fontId="14" fillId="5" borderId="0" xfId="0" applyFont="1" applyFill="1" applyBorder="1" applyProtection="1">
      <protection hidden="1"/>
    </xf>
    <xf numFmtId="0" fontId="0" fillId="13" borderId="45" xfId="0" applyFill="1" applyBorder="1" applyProtection="1">
      <protection hidden="1"/>
    </xf>
    <xf numFmtId="0" fontId="17" fillId="5" borderId="0" xfId="0" applyFont="1" applyFill="1" applyBorder="1" applyAlignment="1" applyProtection="1">
      <alignment horizontal="center" vertical="center"/>
      <protection hidden="1"/>
    </xf>
    <xf numFmtId="0" fontId="0" fillId="5" borderId="55" xfId="0" applyFill="1" applyBorder="1" applyProtection="1">
      <protection hidden="1"/>
    </xf>
    <xf numFmtId="0" fontId="0" fillId="13" borderId="0" xfId="0" applyFill="1" applyProtection="1">
      <protection hidden="1"/>
    </xf>
    <xf numFmtId="0" fontId="18" fillId="5" borderId="0" xfId="0" applyFont="1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0" fillId="5" borderId="56" xfId="0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right" vertical="center"/>
      <protection hidden="1"/>
    </xf>
    <xf numFmtId="0" fontId="0" fillId="13" borderId="55" xfId="0" applyFill="1" applyBorder="1" applyProtection="1">
      <protection hidden="1"/>
    </xf>
    <xf numFmtId="0" fontId="0" fillId="13" borderId="39" xfId="0" applyFill="1" applyBorder="1" applyProtection="1">
      <protection hidden="1"/>
    </xf>
    <xf numFmtId="0" fontId="15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Alignment="1" applyProtection="1">
      <alignment horizontal="center" vertical="top"/>
      <protection hidden="1"/>
    </xf>
    <xf numFmtId="0" fontId="34" fillId="16" borderId="61" xfId="0" applyFont="1" applyFill="1" applyBorder="1" applyAlignment="1" applyProtection="1">
      <alignment horizontal="center" vertical="center" wrapText="1"/>
      <protection locked="0"/>
    </xf>
    <xf numFmtId="0" fontId="34" fillId="16" borderId="59" xfId="0" applyFont="1" applyFill="1" applyBorder="1" applyAlignment="1" applyProtection="1">
      <alignment horizontal="center" vertical="center" wrapText="1"/>
      <protection locked="0"/>
    </xf>
    <xf numFmtId="0" fontId="32" fillId="0" borderId="60" xfId="0" applyFont="1" applyBorder="1" applyAlignment="1" applyProtection="1">
      <alignment horizontal="center" vertical="center" wrapText="1"/>
      <protection locked="0"/>
    </xf>
    <xf numFmtId="0" fontId="32" fillId="0" borderId="7" xfId="0" applyFont="1" applyBorder="1" applyAlignment="1" applyProtection="1">
      <alignment horizontal="center" vertical="center" wrapText="1"/>
      <protection locked="0"/>
    </xf>
    <xf numFmtId="0" fontId="34" fillId="16" borderId="60" xfId="0" applyFont="1" applyFill="1" applyBorder="1" applyAlignment="1" applyProtection="1">
      <alignment horizontal="center" vertical="center" wrapText="1"/>
      <protection locked="0"/>
    </xf>
    <xf numFmtId="0" fontId="34" fillId="16" borderId="7" xfId="0" applyFont="1" applyFill="1" applyBorder="1" applyAlignment="1" applyProtection="1">
      <alignment horizontal="center" vertical="center" wrapText="1"/>
      <protection locked="0"/>
    </xf>
    <xf numFmtId="0" fontId="33" fillId="16" borderId="60" xfId="0" applyFont="1" applyFill="1" applyBorder="1" applyAlignment="1" applyProtection="1">
      <alignment horizontal="center" vertical="center" wrapText="1"/>
      <protection locked="0"/>
    </xf>
    <xf numFmtId="0" fontId="33" fillId="16" borderId="7" xfId="0" applyFont="1" applyFill="1" applyBorder="1" applyAlignment="1" applyProtection="1">
      <alignment horizontal="center" vertical="center" wrapText="1"/>
      <protection locked="0"/>
    </xf>
    <xf numFmtId="0" fontId="33" fillId="16" borderId="59" xfId="0" applyFont="1" applyFill="1" applyBorder="1" applyAlignment="1" applyProtection="1">
      <alignment horizontal="center" vertical="center" wrapText="1"/>
      <protection locked="0"/>
    </xf>
    <xf numFmtId="0" fontId="32" fillId="0" borderId="5" xfId="0" applyFont="1" applyBorder="1" applyAlignment="1" applyProtection="1">
      <alignment horizontal="center" vertical="center" wrapText="1"/>
      <protection locked="0"/>
    </xf>
    <xf numFmtId="0" fontId="34" fillId="0" borderId="5" xfId="0" applyFont="1" applyBorder="1" applyAlignment="1" applyProtection="1">
      <alignment horizontal="center" vertical="center" wrapText="1"/>
      <protection locked="0"/>
    </xf>
    <xf numFmtId="0" fontId="34" fillId="0" borderId="7" xfId="0" applyFont="1" applyBorder="1" applyAlignment="1" applyProtection="1">
      <alignment horizontal="center" vertical="center" wrapText="1"/>
      <protection locked="0"/>
    </xf>
    <xf numFmtId="0" fontId="10" fillId="2" borderId="9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 wrapText="1"/>
      <protection hidden="1"/>
    </xf>
    <xf numFmtId="0" fontId="2" fillId="8" borderId="9" xfId="0" applyFont="1" applyFill="1" applyBorder="1" applyAlignment="1" applyProtection="1">
      <alignment horizontal="left" vertical="center" wrapText="1"/>
      <protection locked="0"/>
    </xf>
    <xf numFmtId="0" fontId="9" fillId="2" borderId="9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Protection="1">
      <protection hidden="1"/>
    </xf>
    <xf numFmtId="0" fontId="9" fillId="2" borderId="9" xfId="0" applyFont="1" applyFill="1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37" fillId="17" borderId="9" xfId="0" applyFont="1" applyFill="1" applyBorder="1" applyAlignment="1" applyProtection="1">
      <alignment horizontal="center" vertical="center" wrapText="1"/>
      <protection locked="0"/>
    </xf>
    <xf numFmtId="49" fontId="37" fillId="17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8" borderId="9" xfId="0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 vertical="center" wrapText="1"/>
      <protection locked="0"/>
    </xf>
    <xf numFmtId="20" fontId="2" fillId="8" borderId="9" xfId="0" applyNumberFormat="1" applyFont="1" applyFill="1" applyBorder="1" applyAlignment="1" applyProtection="1">
      <alignment horizontal="center" vertical="center" wrapText="1"/>
      <protection hidden="1"/>
    </xf>
    <xf numFmtId="0" fontId="22" fillId="5" borderId="9" xfId="0" applyFont="1" applyFill="1" applyBorder="1" applyAlignment="1" applyProtection="1">
      <alignment horizontal="center" vertical="center" wrapText="1"/>
      <protection hidden="1"/>
    </xf>
    <xf numFmtId="0" fontId="5" fillId="5" borderId="9" xfId="0" applyFont="1" applyFill="1" applyBorder="1" applyAlignment="1" applyProtection="1">
      <alignment vertical="center"/>
      <protection hidden="1"/>
    </xf>
    <xf numFmtId="0" fontId="23" fillId="5" borderId="9" xfId="0" applyFont="1" applyFill="1" applyBorder="1" applyAlignment="1" applyProtection="1">
      <alignment horizontal="center" vertical="center"/>
      <protection hidden="1"/>
    </xf>
    <xf numFmtId="0" fontId="5" fillId="5" borderId="9" xfId="0" applyFont="1" applyFill="1" applyBorder="1" applyAlignment="1" applyProtection="1">
      <alignment horizontal="center" vertical="center"/>
      <protection hidden="1"/>
    </xf>
    <xf numFmtId="0" fontId="24" fillId="5" borderId="9" xfId="0" applyFont="1" applyFill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wrapText="1"/>
      <protection hidden="1"/>
    </xf>
    <xf numFmtId="0" fontId="2" fillId="4" borderId="63" xfId="0" applyFont="1" applyFill="1" applyBorder="1" applyAlignment="1" applyProtection="1">
      <alignment horizontal="center" vertical="center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4" fillId="7" borderId="61" xfId="0" applyFont="1" applyFill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/>
    </xf>
    <xf numFmtId="49" fontId="2" fillId="0" borderId="9" xfId="0" applyNumberFormat="1" applyFont="1" applyBorder="1" applyAlignment="1" applyProtection="1">
      <alignment horizontal="center" vertical="center" wrapText="1"/>
      <protection hidden="1"/>
    </xf>
    <xf numFmtId="14" fontId="2" fillId="5" borderId="0" xfId="0" applyNumberFormat="1" applyFont="1" applyFill="1" applyBorder="1" applyAlignment="1">
      <alignment horizontal="center" vertical="center" wrapText="1"/>
    </xf>
    <xf numFmtId="20" fontId="5" fillId="5" borderId="0" xfId="0" applyNumberFormat="1" applyFont="1" applyFill="1" applyBorder="1" applyAlignment="1">
      <alignment horizontal="center" vertical="center" wrapText="1"/>
    </xf>
    <xf numFmtId="0" fontId="5" fillId="5" borderId="0" xfId="0" applyFont="1" applyFill="1" applyBorder="1" applyAlignment="1">
      <alignment horizontal="center" vertical="center" wrapText="1"/>
    </xf>
    <xf numFmtId="20" fontId="2" fillId="5" borderId="0" xfId="0" applyNumberFormat="1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164" fontId="3" fillId="0" borderId="10" xfId="0" applyNumberFormat="1" applyFont="1" applyBorder="1" applyAlignment="1" applyProtection="1">
      <alignment horizontal="center" vertical="center"/>
      <protection locked="0"/>
    </xf>
    <xf numFmtId="0" fontId="2" fillId="0" borderId="64" xfId="0" applyFont="1" applyBorder="1" applyAlignment="1" applyProtection="1">
      <alignment horizontal="left" vertical="center"/>
      <protection hidden="1"/>
    </xf>
    <xf numFmtId="0" fontId="2" fillId="0" borderId="61" xfId="0" applyFont="1" applyBorder="1" applyAlignment="1" applyProtection="1">
      <alignment horizontal="left" vertical="center"/>
      <protection hidden="1"/>
    </xf>
    <xf numFmtId="0" fontId="2" fillId="0" borderId="61" xfId="0" applyFont="1" applyBorder="1" applyAlignment="1" applyProtection="1">
      <alignment horizontal="center" vertical="center"/>
      <protection locked="0"/>
    </xf>
    <xf numFmtId="0" fontId="2" fillId="14" borderId="6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38" fillId="16" borderId="7" xfId="0" applyFont="1" applyFill="1" applyBorder="1" applyAlignment="1" applyProtection="1">
      <alignment horizontal="center" vertical="center" wrapText="1"/>
      <protection locked="0"/>
    </xf>
    <xf numFmtId="0" fontId="4" fillId="7" borderId="58" xfId="0" applyFont="1" applyFill="1" applyBorder="1" applyAlignment="1" applyProtection="1">
      <alignment horizontal="center" vertical="center"/>
      <protection hidden="1"/>
    </xf>
    <xf numFmtId="0" fontId="4" fillId="0" borderId="61" xfId="0" applyFont="1" applyBorder="1" applyAlignment="1" applyProtection="1">
      <alignment horizontal="center" vertical="center"/>
      <protection locked="0"/>
    </xf>
    <xf numFmtId="14" fontId="2" fillId="0" borderId="63" xfId="0" applyNumberFormat="1" applyFont="1" applyBorder="1" applyAlignment="1" applyProtection="1">
      <alignment horizontal="center" vertical="center"/>
      <protection locked="0"/>
    </xf>
    <xf numFmtId="0" fontId="3" fillId="0" borderId="61" xfId="0" applyFont="1" applyBorder="1" applyAlignment="1" applyProtection="1">
      <alignment horizontal="center" vertical="center"/>
      <protection locked="0"/>
    </xf>
    <xf numFmtId="0" fontId="2" fillId="0" borderId="61" xfId="0" applyFont="1" applyBorder="1" applyAlignment="1" applyProtection="1">
      <alignment horizontal="center"/>
      <protection hidden="1"/>
    </xf>
    <xf numFmtId="0" fontId="1" fillId="5" borderId="0" xfId="0" applyFont="1" applyFill="1" applyBorder="1" applyAlignment="1" applyProtection="1">
      <alignment horizontal="center" vertical="center" wrapText="1"/>
      <protection hidden="1"/>
    </xf>
    <xf numFmtId="0" fontId="10" fillId="6" borderId="9" xfId="0" applyFont="1" applyFill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4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6" fillId="2" borderId="20" xfId="0" applyFont="1" applyFill="1" applyBorder="1" applyAlignment="1" applyProtection="1">
      <alignment horizontal="center" vertical="center" wrapText="1"/>
      <protection hidden="1"/>
    </xf>
    <xf numFmtId="0" fontId="6" fillId="2" borderId="19" xfId="0" applyFont="1" applyFill="1" applyBorder="1" applyAlignment="1" applyProtection="1">
      <alignment horizontal="center" vertical="center" wrapText="1"/>
      <protection hidden="1"/>
    </xf>
    <xf numFmtId="0" fontId="6" fillId="2" borderId="18" xfId="0" applyFont="1" applyFill="1" applyBorder="1" applyAlignment="1" applyProtection="1">
      <alignment horizontal="center" vertical="center" wrapText="1"/>
      <protection hidden="1"/>
    </xf>
    <xf numFmtId="0" fontId="6" fillId="2" borderId="17" xfId="0" applyFont="1" applyFill="1" applyBorder="1" applyAlignment="1" applyProtection="1">
      <alignment horizontal="center" vertical="center" wrapText="1"/>
      <protection hidden="1"/>
    </xf>
    <xf numFmtId="0" fontId="6" fillId="2" borderId="9" xfId="0" applyFont="1" applyFill="1" applyBorder="1" applyAlignment="1" applyProtection="1">
      <alignment horizontal="center" vertical="center" wrapText="1"/>
      <protection hidden="1"/>
    </xf>
    <xf numFmtId="0" fontId="6" fillId="2" borderId="16" xfId="0" applyFont="1" applyFill="1" applyBorder="1" applyAlignment="1" applyProtection="1">
      <alignment horizontal="center" vertical="center" wrapText="1"/>
      <protection hidden="1"/>
    </xf>
    <xf numFmtId="0" fontId="6" fillId="2" borderId="15" xfId="0" applyFont="1" applyFill="1" applyBorder="1" applyAlignment="1" applyProtection="1">
      <alignment horizontal="center" vertical="center" wrapText="1"/>
      <protection hidden="1"/>
    </xf>
    <xf numFmtId="0" fontId="6" fillId="2" borderId="14" xfId="0" applyFont="1" applyFill="1" applyBorder="1" applyAlignment="1" applyProtection="1">
      <alignment horizontal="center" vertical="center" wrapText="1"/>
      <protection hidden="1"/>
    </xf>
    <xf numFmtId="0" fontId="6" fillId="2" borderId="13" xfId="0" applyFont="1" applyFill="1" applyBorder="1" applyAlignment="1" applyProtection="1">
      <alignment horizontal="center" vertical="center" wrapText="1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25" xfId="0" applyFont="1" applyFill="1" applyBorder="1" applyAlignment="1" applyProtection="1">
      <alignment horizontal="center" vertical="center"/>
      <protection hidden="1"/>
    </xf>
    <xf numFmtId="0" fontId="7" fillId="2" borderId="24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7" fillId="2" borderId="8" xfId="0" applyFont="1" applyFill="1" applyBorder="1" applyAlignment="1" applyProtection="1">
      <alignment horizontal="center"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9" fillId="4" borderId="29" xfId="0" applyFont="1" applyFill="1" applyBorder="1" applyAlignment="1" applyProtection="1">
      <alignment horizontal="center" vertical="center"/>
      <protection hidden="1"/>
    </xf>
    <xf numFmtId="0" fontId="9" fillId="4" borderId="28" xfId="0" applyFont="1" applyFill="1" applyBorder="1" applyAlignment="1" applyProtection="1">
      <alignment horizontal="center" vertical="center"/>
      <protection hidden="1"/>
    </xf>
    <xf numFmtId="0" fontId="10" fillId="2" borderId="9" xfId="0" applyFont="1" applyFill="1" applyBorder="1" applyAlignment="1" applyProtection="1">
      <alignment horizontal="center" vertical="center"/>
      <protection hidden="1"/>
    </xf>
    <xf numFmtId="0" fontId="10" fillId="15" borderId="57" xfId="0" applyFont="1" applyFill="1" applyBorder="1" applyAlignment="1" applyProtection="1">
      <alignment horizontal="center" vertical="center"/>
      <protection hidden="1"/>
    </xf>
    <xf numFmtId="0" fontId="10" fillId="15" borderId="58" xfId="0" applyFont="1" applyFill="1" applyBorder="1" applyAlignment="1" applyProtection="1">
      <alignment horizontal="center" vertical="center"/>
      <protection hidden="1"/>
    </xf>
    <xf numFmtId="0" fontId="10" fillId="15" borderId="59" xfId="0" applyFont="1" applyFill="1" applyBorder="1" applyAlignment="1" applyProtection="1">
      <alignment horizontal="center" vertical="center"/>
      <protection hidden="1"/>
    </xf>
    <xf numFmtId="0" fontId="2" fillId="15" borderId="65" xfId="0" applyFont="1" applyFill="1" applyBorder="1" applyAlignment="1" applyProtection="1">
      <alignment horizontal="center" vertical="center"/>
      <protection hidden="1"/>
    </xf>
    <xf numFmtId="0" fontId="2" fillId="15" borderId="0" xfId="0" applyFont="1" applyFill="1" applyBorder="1" applyAlignment="1" applyProtection="1">
      <alignment horizontal="center" vertical="center"/>
      <protection hidden="1"/>
    </xf>
    <xf numFmtId="0" fontId="2" fillId="15" borderId="5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4" xfId="0" applyFont="1" applyFill="1" applyBorder="1" applyAlignment="1" applyProtection="1">
      <alignment horizontal="center" vertical="center"/>
      <protection hidden="1"/>
    </xf>
    <xf numFmtId="0" fontId="2" fillId="15" borderId="9" xfId="0" applyFont="1" applyFill="1" applyBorder="1" applyAlignment="1" applyProtection="1">
      <alignment horizontal="center" vertical="center"/>
      <protection hidden="1"/>
    </xf>
    <xf numFmtId="14" fontId="5" fillId="5" borderId="0" xfId="0" applyNumberFormat="1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17" fontId="5" fillId="5" borderId="0" xfId="0" applyNumberFormat="1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locked="0"/>
    </xf>
    <xf numFmtId="14" fontId="29" fillId="5" borderId="0" xfId="0" applyNumberFormat="1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vertical="center"/>
      <protection locked="0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20" fillId="12" borderId="11" xfId="0" applyFont="1" applyFill="1" applyBorder="1" applyAlignment="1" applyProtection="1">
      <alignment horizontal="center" vertical="center" textRotation="90"/>
      <protection hidden="1"/>
    </xf>
    <xf numFmtId="0" fontId="20" fillId="12" borderId="12" xfId="0" applyFont="1" applyFill="1" applyBorder="1" applyAlignment="1" applyProtection="1">
      <alignment horizontal="center" vertical="center" textRotation="90"/>
      <protection hidden="1"/>
    </xf>
    <xf numFmtId="0" fontId="7" fillId="12" borderId="29" xfId="0" applyFont="1" applyFill="1" applyBorder="1" applyAlignment="1" applyProtection="1">
      <alignment horizontal="center" vertical="center"/>
      <protection hidden="1"/>
    </xf>
    <xf numFmtId="0" fontId="7" fillId="12" borderId="51" xfId="0" applyFont="1" applyFill="1" applyBorder="1" applyAlignment="1" applyProtection="1">
      <alignment horizontal="center" vertical="center"/>
      <protection hidden="1"/>
    </xf>
    <xf numFmtId="0" fontId="7" fillId="12" borderId="27" xfId="0" applyFont="1" applyFill="1" applyBorder="1" applyAlignment="1" applyProtection="1">
      <alignment horizontal="center" vertical="center" textRotation="90"/>
      <protection hidden="1"/>
    </xf>
    <xf numFmtId="0" fontId="7" fillId="12" borderId="56" xfId="0" applyFont="1" applyFill="1" applyBorder="1" applyAlignment="1" applyProtection="1">
      <alignment horizontal="center" vertical="center" textRotation="90"/>
      <protection hidden="1"/>
    </xf>
    <xf numFmtId="0" fontId="7" fillId="12" borderId="23" xfId="0" applyFont="1" applyFill="1" applyBorder="1" applyAlignment="1" applyProtection="1">
      <alignment horizontal="center" vertical="center" textRotation="90"/>
      <protection hidden="1"/>
    </xf>
    <xf numFmtId="0" fontId="7" fillId="12" borderId="49" xfId="0" applyFont="1" applyFill="1" applyBorder="1" applyAlignment="1" applyProtection="1">
      <alignment horizontal="center" vertical="center" textRotation="90"/>
      <protection hidden="1"/>
    </xf>
    <xf numFmtId="0" fontId="7" fillId="12" borderId="11" xfId="0" applyFont="1" applyFill="1" applyBorder="1" applyAlignment="1" applyProtection="1">
      <alignment horizontal="center" vertical="center" textRotation="90"/>
      <protection hidden="1"/>
    </xf>
    <xf numFmtId="0" fontId="7" fillId="12" borderId="12" xfId="0" applyFont="1" applyFill="1" applyBorder="1" applyAlignment="1" applyProtection="1">
      <alignment horizontal="center" vertical="center" textRotation="90"/>
      <protection hidden="1"/>
    </xf>
    <xf numFmtId="0" fontId="7" fillId="12" borderId="25" xfId="0" applyFont="1" applyFill="1" applyBorder="1" applyAlignment="1" applyProtection="1">
      <alignment horizontal="center" vertical="center" textRotation="90"/>
      <protection hidden="1"/>
    </xf>
    <xf numFmtId="0" fontId="7" fillId="12" borderId="21" xfId="0" applyFont="1" applyFill="1" applyBorder="1" applyAlignment="1" applyProtection="1">
      <alignment horizontal="center" vertical="center" textRotation="90"/>
      <protection hidden="1"/>
    </xf>
    <xf numFmtId="0" fontId="7" fillId="12" borderId="23" xfId="0" applyFont="1" applyFill="1" applyBorder="1" applyAlignment="1" applyProtection="1">
      <alignment horizontal="center" vertical="center"/>
      <protection hidden="1"/>
    </xf>
    <xf numFmtId="0" fontId="7" fillId="12" borderId="49" xfId="0" applyFont="1" applyFill="1" applyBorder="1" applyAlignment="1" applyProtection="1">
      <alignment horizontal="center" vertical="center"/>
      <protection hidden="1"/>
    </xf>
    <xf numFmtId="0" fontId="7" fillId="12" borderId="21" xfId="0" applyFont="1" applyFill="1" applyBorder="1" applyAlignment="1" applyProtection="1">
      <alignment horizontal="center" vertical="center"/>
      <protection hidden="1"/>
    </xf>
    <xf numFmtId="0" fontId="7" fillId="12" borderId="12" xfId="0" applyFont="1" applyFill="1" applyBorder="1" applyAlignment="1" applyProtection="1">
      <alignment horizontal="center" vertical="center"/>
      <protection hidden="1"/>
    </xf>
    <xf numFmtId="0" fontId="7" fillId="12" borderId="28" xfId="0" applyFont="1" applyFill="1" applyBorder="1" applyAlignment="1" applyProtection="1">
      <alignment horizontal="center" vertical="center" textRotation="90"/>
      <protection hidden="1"/>
    </xf>
    <xf numFmtId="0" fontId="7" fillId="12" borderId="9" xfId="0" applyFont="1" applyFill="1" applyBorder="1" applyAlignment="1" applyProtection="1">
      <alignment horizontal="center" vertical="center" textRotation="90"/>
      <protection hidden="1"/>
    </xf>
    <xf numFmtId="0" fontId="0" fillId="5" borderId="41" xfId="0" applyFill="1" applyBorder="1" applyAlignment="1" applyProtection="1">
      <alignment horizontal="center"/>
      <protection hidden="1"/>
    </xf>
    <xf numFmtId="0" fontId="0" fillId="5" borderId="48" xfId="0" applyFill="1" applyBorder="1" applyAlignment="1" applyProtection="1">
      <alignment horizontal="center"/>
      <protection hidden="1"/>
    </xf>
    <xf numFmtId="0" fontId="7" fillId="12" borderId="28" xfId="0" applyFont="1" applyFill="1" applyBorder="1" applyAlignment="1" applyProtection="1">
      <alignment horizontal="center" vertical="center"/>
      <protection hidden="1"/>
    </xf>
    <xf numFmtId="0" fontId="7" fillId="12" borderId="9" xfId="0" applyFont="1" applyFill="1" applyBorder="1" applyAlignment="1" applyProtection="1">
      <alignment horizontal="center" vertical="center"/>
      <protection hidden="1"/>
    </xf>
    <xf numFmtId="0" fontId="7" fillId="12" borderId="29" xfId="0" applyFont="1" applyFill="1" applyBorder="1" applyAlignment="1" applyProtection="1">
      <alignment horizontal="center" vertical="center" wrapText="1"/>
      <protection hidden="1"/>
    </xf>
    <xf numFmtId="0" fontId="7" fillId="12" borderId="50" xfId="0" applyFont="1" applyFill="1" applyBorder="1" applyAlignment="1" applyProtection="1">
      <alignment horizontal="center" vertical="center" wrapText="1"/>
      <protection hidden="1"/>
    </xf>
    <xf numFmtId="0" fontId="7" fillId="12" borderId="51" xfId="0" applyFont="1" applyFill="1" applyBorder="1" applyAlignment="1" applyProtection="1">
      <alignment horizontal="center" vertical="center" wrapText="1"/>
      <protection hidden="1"/>
    </xf>
    <xf numFmtId="0" fontId="16" fillId="5" borderId="26" xfId="0" applyFont="1" applyFill="1" applyBorder="1" applyAlignment="1" applyProtection="1">
      <alignment horizontal="center" vertical="top" wrapText="1"/>
      <protection hidden="1"/>
    </xf>
    <xf numFmtId="0" fontId="7" fillId="12" borderId="52" xfId="0" applyFont="1" applyFill="1" applyBorder="1" applyAlignment="1" applyProtection="1">
      <alignment horizontal="center" vertical="center"/>
      <protection hidden="1"/>
    </xf>
    <xf numFmtId="0" fontId="7" fillId="12" borderId="53" xfId="0" applyFont="1" applyFill="1" applyBorder="1" applyAlignment="1" applyProtection="1">
      <alignment horizontal="center" vertical="center"/>
      <protection hidden="1"/>
    </xf>
    <xf numFmtId="0" fontId="7" fillId="12" borderId="22" xfId="0" applyFont="1" applyFill="1" applyBorder="1" applyAlignment="1" applyProtection="1">
      <alignment horizontal="center" vertical="center"/>
      <protection hidden="1"/>
    </xf>
    <xf numFmtId="0" fontId="7" fillId="12" borderId="54" xfId="0" applyFont="1" applyFill="1" applyBorder="1" applyAlignment="1" applyProtection="1">
      <alignment horizontal="center" vertical="center"/>
      <protection hidden="1"/>
    </xf>
    <xf numFmtId="0" fontId="15" fillId="5" borderId="22" xfId="0" applyFont="1" applyFill="1" applyBorder="1" applyAlignment="1" applyProtection="1">
      <alignment horizontal="center"/>
      <protection hidden="1"/>
    </xf>
    <xf numFmtId="0" fontId="15" fillId="5" borderId="49" xfId="0" applyFont="1" applyFill="1" applyBorder="1" applyAlignment="1" applyProtection="1">
      <alignment horizontal="center"/>
      <protection hidden="1"/>
    </xf>
    <xf numFmtId="0" fontId="15" fillId="5" borderId="26" xfId="0" applyFont="1" applyFill="1" applyBorder="1" applyAlignment="1" applyProtection="1">
      <alignment horizontal="center" vertical="top"/>
      <protection hidden="1"/>
    </xf>
    <xf numFmtId="0" fontId="15" fillId="5" borderId="56" xfId="0" applyFont="1" applyFill="1" applyBorder="1" applyAlignment="1" applyProtection="1">
      <alignment horizontal="center" vertical="top"/>
      <protection hidden="1"/>
    </xf>
    <xf numFmtId="0" fontId="19" fillId="5" borderId="46" xfId="0" applyFont="1" applyFill="1" applyBorder="1" applyAlignment="1" applyProtection="1">
      <alignment horizontal="left" vertical="center" textRotation="90"/>
      <protection hidden="1"/>
    </xf>
    <xf numFmtId="0" fontId="21" fillId="12" borderId="11" xfId="0" applyFont="1" applyFill="1" applyBorder="1" applyAlignment="1" applyProtection="1">
      <alignment horizontal="center" vertical="center" textRotation="90"/>
      <protection hidden="1"/>
    </xf>
    <xf numFmtId="0" fontId="21" fillId="12" borderId="12" xfId="0" applyFont="1" applyFill="1" applyBorder="1" applyAlignment="1" applyProtection="1">
      <alignment horizontal="center" vertical="center" textRotation="90"/>
      <protection hidden="1"/>
    </xf>
    <xf numFmtId="0" fontId="32" fillId="0" borderId="62" xfId="0" applyFont="1" applyBorder="1" applyAlignment="1" applyProtection="1">
      <alignment horizontal="center" vertical="center" wrapText="1"/>
      <protection locked="0"/>
    </xf>
    <xf numFmtId="0" fontId="32" fillId="0" borderId="60" xfId="0" applyFont="1" applyBorder="1" applyAlignment="1" applyProtection="1">
      <alignment horizontal="center" vertical="center" wrapText="1"/>
      <protection locked="0"/>
    </xf>
    <xf numFmtId="0" fontId="33" fillId="0" borderId="62" xfId="0" applyFont="1" applyBorder="1" applyAlignment="1" applyProtection="1">
      <alignment horizontal="center" vertical="center" wrapText="1"/>
      <protection locked="0"/>
    </xf>
    <xf numFmtId="0" fontId="33" fillId="0" borderId="60" xfId="0" applyFont="1" applyBorder="1" applyAlignment="1" applyProtection="1">
      <alignment horizontal="center" vertical="center" wrapText="1"/>
      <protection locked="0"/>
    </xf>
    <xf numFmtId="0" fontId="2" fillId="4" borderId="0" xfId="0" applyFont="1" applyFill="1" applyAlignment="1" applyProtection="1">
      <alignment horizontal="center" vertical="center" wrapText="1"/>
      <protection hidden="1"/>
    </xf>
    <xf numFmtId="0" fontId="11" fillId="9" borderId="0" xfId="0" applyFont="1" applyFill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center" vertical="center"/>
      <protection hidden="1"/>
    </xf>
    <xf numFmtId="0" fontId="10" fillId="9" borderId="0" xfId="0" applyFont="1" applyFill="1" applyBorder="1" applyAlignment="1" applyProtection="1">
      <alignment horizontal="center" vertical="center"/>
      <protection hidden="1"/>
    </xf>
    <xf numFmtId="0" fontId="10" fillId="9" borderId="24" xfId="0" applyFont="1" applyFill="1" applyBorder="1" applyAlignment="1" applyProtection="1">
      <alignment horizontal="center" vertical="center"/>
      <protection hidden="1"/>
    </xf>
    <xf numFmtId="0" fontId="10" fillId="9" borderId="0" xfId="0" applyFont="1" applyFill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Border="1" applyAlignment="1" applyProtection="1">
      <alignment horizontal="center" vertical="center" wrapText="1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0" fontId="1" fillId="2" borderId="32" xfId="0" applyFont="1" applyFill="1" applyBorder="1" applyAlignment="1" applyProtection="1">
      <alignment horizontal="center" vertical="center" wrapText="1"/>
      <protection hidden="1"/>
    </xf>
    <xf numFmtId="0" fontId="1" fillId="2" borderId="22" xfId="0" applyFont="1" applyFill="1" applyBorder="1" applyAlignment="1" applyProtection="1">
      <alignment horizontal="center" vertical="center" wrapText="1"/>
      <protection hidden="1"/>
    </xf>
    <xf numFmtId="0" fontId="1" fillId="2" borderId="33" xfId="0" applyFont="1" applyFill="1" applyBorder="1" applyAlignment="1" applyProtection="1">
      <alignment horizontal="center" vertical="center" wrapText="1"/>
      <protection hidden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ARKING!A1"/><Relationship Id="rId3" Type="http://schemas.openxmlformats.org/officeDocument/2006/relationships/hyperlink" Target="#'CONTROL DE LLAVES'!A1"/><Relationship Id="rId7" Type="http://schemas.openxmlformats.org/officeDocument/2006/relationships/hyperlink" Target="#'CONTROL MATERIAL'!A1"/><Relationship Id="rId12" Type="http://schemas.openxmlformats.org/officeDocument/2006/relationships/hyperlink" Target="#MERCANCIA!A1"/><Relationship Id="rId2" Type="http://schemas.openxmlformats.org/officeDocument/2006/relationships/hyperlink" Target="#HORARIOS!A1"/><Relationship Id="rId1" Type="http://schemas.openxmlformats.org/officeDocument/2006/relationships/image" Target="../media/image1.png"/><Relationship Id="rId6" Type="http://schemas.openxmlformats.org/officeDocument/2006/relationships/hyperlink" Target="#PAQUETERIA!A1"/><Relationship Id="rId11" Type="http://schemas.openxmlformats.org/officeDocument/2006/relationships/hyperlink" Target="#'LISTADO TEL&#201;FONOS'!A1"/><Relationship Id="rId5" Type="http://schemas.openxmlformats.org/officeDocument/2006/relationships/hyperlink" Target="#ROPA!A1"/><Relationship Id="rId10" Type="http://schemas.openxmlformats.org/officeDocument/2006/relationships/hyperlink" Target="#'LISTADO LLAVES'!A1"/><Relationship Id="rId4" Type="http://schemas.openxmlformats.org/officeDocument/2006/relationships/hyperlink" Target="#BD.BUNGE!A1"/><Relationship Id="rId9" Type="http://schemas.openxmlformats.org/officeDocument/2006/relationships/hyperlink" Target="#PLANTILL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RINCIPAL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24</xdr:row>
      <xdr:rowOff>47624</xdr:rowOff>
    </xdr:from>
    <xdr:to>
      <xdr:col>6</xdr:col>
      <xdr:colOff>428626</xdr:colOff>
      <xdr:row>26</xdr:row>
      <xdr:rowOff>114299</xdr:rowOff>
    </xdr:to>
    <xdr:sp macro="[0]!AñadirAHorari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276475" y="4791074"/>
          <a:ext cx="5267326" cy="4857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AÑADIR </a:t>
          </a:r>
          <a:r>
            <a:rPr lang="es-ES" sz="1400" b="1" baseline="0"/>
            <a:t> BÚSQUEDA, VISITA O EMPRESA EXTERNA  A HORARIOS</a:t>
          </a:r>
        </a:p>
        <a:p>
          <a:pPr algn="ctr"/>
          <a:endParaRPr lang="es-ES" sz="1400" b="1"/>
        </a:p>
      </xdr:txBody>
    </xdr:sp>
    <xdr:clientData/>
  </xdr:twoCellAnchor>
  <xdr:twoCellAnchor>
    <xdr:from>
      <xdr:col>0</xdr:col>
      <xdr:colOff>152399</xdr:colOff>
      <xdr:row>18</xdr:row>
      <xdr:rowOff>19051</xdr:rowOff>
    </xdr:from>
    <xdr:to>
      <xdr:col>2</xdr:col>
      <xdr:colOff>600074</xdr:colOff>
      <xdr:row>20</xdr:row>
      <xdr:rowOff>1</xdr:rowOff>
    </xdr:to>
    <xdr:sp macro="[0]!BuscarEmplead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52399" y="3495676"/>
          <a:ext cx="1971675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 EMPLEAD@</a:t>
          </a:r>
        </a:p>
      </xdr:txBody>
    </xdr:sp>
    <xdr:clientData/>
  </xdr:twoCellAnchor>
  <xdr:twoCellAnchor>
    <xdr:from>
      <xdr:col>0</xdr:col>
      <xdr:colOff>161925</xdr:colOff>
      <xdr:row>13</xdr:row>
      <xdr:rowOff>0</xdr:rowOff>
    </xdr:from>
    <xdr:to>
      <xdr:col>2</xdr:col>
      <xdr:colOff>609600</xdr:colOff>
      <xdr:row>15</xdr:row>
      <xdr:rowOff>47625</xdr:rowOff>
    </xdr:to>
    <xdr:sp macro="[0]!NuevoEmplead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61925" y="2495550"/>
          <a:ext cx="1971675" cy="4476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NUEV@ EMPLEAD@</a:t>
          </a:r>
        </a:p>
      </xdr:txBody>
    </xdr:sp>
    <xdr:clientData/>
  </xdr:twoCellAnchor>
  <xdr:twoCellAnchor editAs="oneCell">
    <xdr:from>
      <xdr:col>0</xdr:col>
      <xdr:colOff>666749</xdr:colOff>
      <xdr:row>31</xdr:row>
      <xdr:rowOff>38100</xdr:rowOff>
    </xdr:from>
    <xdr:to>
      <xdr:col>14</xdr:col>
      <xdr:colOff>409575</xdr:colOff>
      <xdr:row>45</xdr:row>
      <xdr:rowOff>152398</xdr:rowOff>
    </xdr:to>
    <xdr:pic>
      <xdr:nvPicPr>
        <xdr:cNvPr id="8" name="1 Imagen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49" y="6267450"/>
          <a:ext cx="16316326" cy="291464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8</xdr:row>
      <xdr:rowOff>47625</xdr:rowOff>
    </xdr:from>
    <xdr:to>
      <xdr:col>1</xdr:col>
      <xdr:colOff>752475</xdr:colOff>
      <xdr:row>11</xdr:row>
      <xdr:rowOff>142875</xdr:rowOff>
    </xdr:to>
    <xdr:sp macro="" textlink="">
      <xdr:nvSpPr>
        <xdr:cNvPr id="2" name="Rectángulo: esquinas redondeada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09550" y="1571625"/>
          <a:ext cx="1304925" cy="6858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 HORARIOS</a:t>
          </a:r>
        </a:p>
      </xdr:txBody>
    </xdr:sp>
    <xdr:clientData/>
  </xdr:twoCellAnchor>
  <xdr:twoCellAnchor>
    <xdr:from>
      <xdr:col>3</xdr:col>
      <xdr:colOff>1057275</xdr:colOff>
      <xdr:row>8</xdr:row>
      <xdr:rowOff>66675</xdr:rowOff>
    </xdr:from>
    <xdr:to>
      <xdr:col>4</xdr:col>
      <xdr:colOff>1295400</xdr:colOff>
      <xdr:row>11</xdr:row>
      <xdr:rowOff>142875</xdr:rowOff>
    </xdr:to>
    <xdr:sp macro="" textlink="">
      <xdr:nvSpPr>
        <xdr:cNvPr id="9" name="Rectángulo: esquinas redondeada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3343275" y="1590675"/>
          <a:ext cx="2143125" cy="6667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CONTROL DE LLAVES</a:t>
          </a:r>
        </a:p>
      </xdr:txBody>
    </xdr:sp>
    <xdr:clientData/>
  </xdr:twoCellAnchor>
  <xdr:twoCellAnchor>
    <xdr:from>
      <xdr:col>0</xdr:col>
      <xdr:colOff>200026</xdr:colOff>
      <xdr:row>0</xdr:row>
      <xdr:rowOff>133351</xdr:rowOff>
    </xdr:from>
    <xdr:to>
      <xdr:col>3</xdr:col>
      <xdr:colOff>314325</xdr:colOff>
      <xdr:row>4</xdr:row>
      <xdr:rowOff>95251</xdr:rowOff>
    </xdr:to>
    <xdr:sp macro="" textlink="">
      <xdr:nvSpPr>
        <xdr:cNvPr id="10" name="Rectángulo: esquinas redondeada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200026" y="133351"/>
          <a:ext cx="2400299" cy="7239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IR A BD</a:t>
          </a:r>
          <a:r>
            <a:rPr lang="es-ES" sz="1600" b="1" baseline="0"/>
            <a:t> </a:t>
          </a:r>
          <a:r>
            <a:rPr lang="es-ES" sz="1600" b="1"/>
            <a:t>BUNGE</a:t>
          </a:r>
          <a:r>
            <a:rPr lang="es-ES" sz="1600" b="1" baseline="0"/>
            <a:t> </a:t>
          </a:r>
        </a:p>
        <a:p>
          <a:pPr algn="ctr"/>
          <a:r>
            <a:rPr lang="es-ES" sz="1600" b="1" baseline="0"/>
            <a:t>(NO MODIFICAR LA BD)</a:t>
          </a:r>
          <a:endParaRPr lang="es-ES" sz="1600" b="1"/>
        </a:p>
      </xdr:txBody>
    </xdr:sp>
    <xdr:clientData/>
  </xdr:twoCellAnchor>
  <xdr:twoCellAnchor>
    <xdr:from>
      <xdr:col>7</xdr:col>
      <xdr:colOff>533401</xdr:colOff>
      <xdr:row>8</xdr:row>
      <xdr:rowOff>76200</xdr:rowOff>
    </xdr:from>
    <xdr:to>
      <xdr:col>7</xdr:col>
      <xdr:colOff>1724025</xdr:colOff>
      <xdr:row>11</xdr:row>
      <xdr:rowOff>161925</xdr:rowOff>
    </xdr:to>
    <xdr:sp macro="" textlink="">
      <xdr:nvSpPr>
        <xdr:cNvPr id="12" name="Rectángulo: esquinas redondeada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9620251" y="1600200"/>
          <a:ext cx="1190624" cy="6762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LISTADO</a:t>
          </a:r>
          <a:r>
            <a:rPr lang="es-ES" sz="1600" b="1" baseline="0"/>
            <a:t> ROPA</a:t>
          </a:r>
          <a:endParaRPr lang="es-ES" sz="1600" b="1"/>
        </a:p>
      </xdr:txBody>
    </xdr:sp>
    <xdr:clientData/>
  </xdr:twoCellAnchor>
  <xdr:twoCellAnchor>
    <xdr:from>
      <xdr:col>2</xdr:col>
      <xdr:colOff>123825</xdr:colOff>
      <xdr:row>8</xdr:row>
      <xdr:rowOff>57150</xdr:rowOff>
    </xdr:from>
    <xdr:to>
      <xdr:col>3</xdr:col>
      <xdr:colOff>914400</xdr:colOff>
      <xdr:row>11</xdr:row>
      <xdr:rowOff>152400</xdr:rowOff>
    </xdr:to>
    <xdr:sp macro="" textlink="">
      <xdr:nvSpPr>
        <xdr:cNvPr id="13" name="Rectángulo: esquinas redondeada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1647825" y="1581150"/>
          <a:ext cx="1552575" cy="6858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PAQUETERíA</a:t>
          </a:r>
        </a:p>
      </xdr:txBody>
    </xdr:sp>
    <xdr:clientData fLocksWithSheet="0"/>
  </xdr:twoCellAnchor>
  <xdr:twoCellAnchor>
    <xdr:from>
      <xdr:col>4</xdr:col>
      <xdr:colOff>1409700</xdr:colOff>
      <xdr:row>8</xdr:row>
      <xdr:rowOff>66675</xdr:rowOff>
    </xdr:from>
    <xdr:to>
      <xdr:col>6</xdr:col>
      <xdr:colOff>628650</xdr:colOff>
      <xdr:row>11</xdr:row>
      <xdr:rowOff>142875</xdr:rowOff>
    </xdr:to>
    <xdr:sp macro="" textlink="">
      <xdr:nvSpPr>
        <xdr:cNvPr id="14" name="Rectángulo: esquinas redondeada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5600700" y="1590675"/>
          <a:ext cx="2143125" cy="6667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CONTROL DE MATERIAL</a:t>
          </a:r>
        </a:p>
      </xdr:txBody>
    </xdr:sp>
    <xdr:clientData/>
  </xdr:twoCellAnchor>
  <xdr:twoCellAnchor>
    <xdr:from>
      <xdr:col>6</xdr:col>
      <xdr:colOff>762001</xdr:colOff>
      <xdr:row>8</xdr:row>
      <xdr:rowOff>66675</xdr:rowOff>
    </xdr:from>
    <xdr:to>
      <xdr:col>7</xdr:col>
      <xdr:colOff>371476</xdr:colOff>
      <xdr:row>11</xdr:row>
      <xdr:rowOff>142875</xdr:rowOff>
    </xdr:to>
    <xdr:sp macro="" textlink="">
      <xdr:nvSpPr>
        <xdr:cNvPr id="15" name="Rectángulo: esquinas redondeadas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7877176" y="1590675"/>
          <a:ext cx="1581150" cy="6667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MAPA PARKING</a:t>
          </a:r>
        </a:p>
      </xdr:txBody>
    </xdr:sp>
    <xdr:clientData/>
  </xdr:twoCellAnchor>
  <xdr:twoCellAnchor>
    <xdr:from>
      <xdr:col>3</xdr:col>
      <xdr:colOff>1466851</xdr:colOff>
      <xdr:row>5</xdr:row>
      <xdr:rowOff>114299</xdr:rowOff>
    </xdr:from>
    <xdr:to>
      <xdr:col>4</xdr:col>
      <xdr:colOff>714375</xdr:colOff>
      <xdr:row>7</xdr:row>
      <xdr:rowOff>57148</xdr:rowOff>
    </xdr:to>
    <xdr:sp macro="[0]!Guardar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3752851" y="1066799"/>
          <a:ext cx="1152524" cy="323849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twoCellAnchor>
    <xdr:from>
      <xdr:col>3</xdr:col>
      <xdr:colOff>476249</xdr:colOff>
      <xdr:row>0</xdr:row>
      <xdr:rowOff>152399</xdr:rowOff>
    </xdr:from>
    <xdr:to>
      <xdr:col>4</xdr:col>
      <xdr:colOff>647700</xdr:colOff>
      <xdr:row>4</xdr:row>
      <xdr:rowOff>85724</xdr:rowOff>
    </xdr:to>
    <xdr:sp macro="" textlink="">
      <xdr:nvSpPr>
        <xdr:cNvPr id="17" name="Rectángulo: esquinas redondeadas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2762249" y="152399"/>
          <a:ext cx="2076451" cy="695325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IR</a:t>
          </a:r>
          <a:r>
            <a:rPr lang="es-ES" sz="1600" b="1" baseline="0"/>
            <a:t> A PLANTILLAS </a:t>
          </a:r>
        </a:p>
        <a:p>
          <a:pPr algn="ctr"/>
          <a:r>
            <a:rPr lang="es-ES" sz="1600" b="1" baseline="0"/>
            <a:t>(NO MODIFICAR)</a:t>
          </a:r>
          <a:endParaRPr lang="es-ES" sz="1600" b="1"/>
        </a:p>
      </xdr:txBody>
    </xdr:sp>
    <xdr:clientData/>
  </xdr:twoCellAnchor>
  <xdr:twoCellAnchor>
    <xdr:from>
      <xdr:col>0</xdr:col>
      <xdr:colOff>142874</xdr:colOff>
      <xdr:row>20</xdr:row>
      <xdr:rowOff>85724</xdr:rowOff>
    </xdr:from>
    <xdr:to>
      <xdr:col>2</xdr:col>
      <xdr:colOff>590549</xdr:colOff>
      <xdr:row>22</xdr:row>
      <xdr:rowOff>123824</xdr:rowOff>
    </xdr:to>
    <xdr:sp macro="[0]!LimpiarPantall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142874" y="4038599"/>
          <a:ext cx="1971675" cy="4286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 baseline="0"/>
            <a:t>ELIMINAR BÚSQUEDA</a:t>
          </a:r>
        </a:p>
      </xdr:txBody>
    </xdr:sp>
    <xdr:clientData/>
  </xdr:twoCellAnchor>
  <xdr:twoCellAnchor>
    <xdr:from>
      <xdr:col>7</xdr:col>
      <xdr:colOff>1914524</xdr:colOff>
      <xdr:row>8</xdr:row>
      <xdr:rowOff>66675</xdr:rowOff>
    </xdr:from>
    <xdr:to>
      <xdr:col>8</xdr:col>
      <xdr:colOff>1562100</xdr:colOff>
      <xdr:row>11</xdr:row>
      <xdr:rowOff>152401</xdr:rowOff>
    </xdr:to>
    <xdr:sp macro="" textlink="">
      <xdr:nvSpPr>
        <xdr:cNvPr id="22" name="Rectángulo: esquinas redondeadas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11001374" y="1590675"/>
          <a:ext cx="1743076" cy="67627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LISTADO LLAVES</a:t>
          </a:r>
        </a:p>
      </xdr:txBody>
    </xdr:sp>
    <xdr:clientData/>
  </xdr:twoCellAnchor>
  <xdr:twoCellAnchor>
    <xdr:from>
      <xdr:col>0</xdr:col>
      <xdr:colOff>142875</xdr:colOff>
      <xdr:row>15</xdr:row>
      <xdr:rowOff>133350</xdr:rowOff>
    </xdr:from>
    <xdr:to>
      <xdr:col>3</xdr:col>
      <xdr:colOff>704850</xdr:colOff>
      <xdr:row>17</xdr:row>
      <xdr:rowOff>123824</xdr:rowOff>
    </xdr:to>
    <xdr:sp macro="[0]!LimpiarNuevoEmplea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42875" y="3028950"/>
          <a:ext cx="2847975" cy="447674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 baseline="0"/>
            <a:t>LIMPIAR NUEVO EMPLEADO</a:t>
          </a:r>
          <a:endParaRPr lang="es-ES" sz="1600" b="1"/>
        </a:p>
      </xdr:txBody>
    </xdr:sp>
    <xdr:clientData/>
  </xdr:twoCellAnchor>
  <xdr:twoCellAnchor>
    <xdr:from>
      <xdr:col>0</xdr:col>
      <xdr:colOff>209550</xdr:colOff>
      <xdr:row>5</xdr:row>
      <xdr:rowOff>104775</xdr:rowOff>
    </xdr:from>
    <xdr:to>
      <xdr:col>2</xdr:col>
      <xdr:colOff>619125</xdr:colOff>
      <xdr:row>7</xdr:row>
      <xdr:rowOff>66675</xdr:rowOff>
    </xdr:to>
    <xdr:sp macro="" textlink="">
      <xdr:nvSpPr>
        <xdr:cNvPr id="18" name="17 Rectángulo redondead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209550" y="1057275"/>
          <a:ext cx="1933575" cy="3429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LISTADO TELÉFONOS</a:t>
          </a:r>
        </a:p>
      </xdr:txBody>
    </xdr:sp>
    <xdr:clientData/>
  </xdr:twoCellAnchor>
  <xdr:twoCellAnchor>
    <xdr:from>
      <xdr:col>3</xdr:col>
      <xdr:colOff>9525</xdr:colOff>
      <xdr:row>5</xdr:row>
      <xdr:rowOff>95250</xdr:rowOff>
    </xdr:from>
    <xdr:to>
      <xdr:col>3</xdr:col>
      <xdr:colOff>1314450</xdr:colOff>
      <xdr:row>7</xdr:row>
      <xdr:rowOff>66675</xdr:rowOff>
    </xdr:to>
    <xdr:sp macro="" textlink="">
      <xdr:nvSpPr>
        <xdr:cNvPr id="19" name="18 Rectángulo redondeado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295525" y="1047750"/>
          <a:ext cx="1304925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MERCANCÍA</a:t>
          </a:r>
        </a:p>
      </xdr:txBody>
    </xdr:sp>
    <xdr:clientData/>
  </xdr:twoCellAnchor>
  <xdr:twoCellAnchor>
    <xdr:from>
      <xdr:col>4</xdr:col>
      <xdr:colOff>866775</xdr:colOff>
      <xdr:row>1</xdr:row>
      <xdr:rowOff>38100</xdr:rowOff>
    </xdr:from>
    <xdr:to>
      <xdr:col>5</xdr:col>
      <xdr:colOff>1085850</xdr:colOff>
      <xdr:row>4</xdr:row>
      <xdr:rowOff>0</xdr:rowOff>
    </xdr:to>
    <xdr:sp macro="[0]!PlanAutoproteccion" textlink="">
      <xdr:nvSpPr>
        <xdr:cNvPr id="20" name="19 Rectángulo redondeado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5057775" y="228600"/>
          <a:ext cx="1704975" cy="5334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EMERGENCIA PLAN</a:t>
          </a:r>
          <a:r>
            <a:rPr lang="es-ES" sz="1200" b="1" baseline="0"/>
            <a:t> DE AUTOPROTECCIÓN</a:t>
          </a:r>
          <a:endParaRPr lang="es-ES" sz="1200" b="1"/>
        </a:p>
      </xdr:txBody>
    </xdr:sp>
    <xdr:clientData/>
  </xdr:twoCellAnchor>
  <xdr:twoCellAnchor>
    <xdr:from>
      <xdr:col>5</xdr:col>
      <xdr:colOff>1276350</xdr:colOff>
      <xdr:row>1</xdr:row>
      <xdr:rowOff>28575</xdr:rowOff>
    </xdr:from>
    <xdr:to>
      <xdr:col>6</xdr:col>
      <xdr:colOff>1543050</xdr:colOff>
      <xdr:row>5</xdr:row>
      <xdr:rowOff>19050</xdr:rowOff>
    </xdr:to>
    <xdr:sp macro="[0]!VertidoMar" textlink="">
      <xdr:nvSpPr>
        <xdr:cNvPr id="23" name="22 Rectángulo redondead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6953250" y="219075"/>
          <a:ext cx="1704975" cy="75247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EMERGENCIA</a:t>
          </a:r>
          <a:r>
            <a:rPr lang="es-ES" sz="1100" b="1" baseline="0"/>
            <a:t> PLAN INTERIOR MARÍTIMO DE VERTIDO AL MAR</a:t>
          </a:r>
          <a:endParaRPr lang="es-ES" sz="1100" b="1"/>
        </a:p>
      </xdr:txBody>
    </xdr:sp>
    <xdr:clientData/>
  </xdr:twoCellAnchor>
  <xdr:twoCellAnchor>
    <xdr:from>
      <xdr:col>4</xdr:col>
      <xdr:colOff>885825</xdr:colOff>
      <xdr:row>4</xdr:row>
      <xdr:rowOff>123825</xdr:rowOff>
    </xdr:from>
    <xdr:to>
      <xdr:col>5</xdr:col>
      <xdr:colOff>1104900</xdr:colOff>
      <xdr:row>7</xdr:row>
      <xdr:rowOff>85725</xdr:rowOff>
    </xdr:to>
    <xdr:sp macro="[0]!ActivacionPIM" textlink="">
      <xdr:nvSpPr>
        <xdr:cNvPr id="25" name="22 Rectángulo redondeado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5076825" y="885825"/>
          <a:ext cx="1704975" cy="5334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EMERGENCIA</a:t>
          </a:r>
          <a:r>
            <a:rPr lang="es-ES" sz="1200" b="1" baseline="0"/>
            <a:t> ACTIVACIÓN DEL PIM</a:t>
          </a:r>
          <a:endParaRPr lang="es-E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171450</xdr:rowOff>
    </xdr:from>
    <xdr:to>
      <xdr:col>4</xdr:col>
      <xdr:colOff>1352551</xdr:colOff>
      <xdr:row>10</xdr:row>
      <xdr:rowOff>171450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171450"/>
          <a:ext cx="7343776" cy="1981200"/>
        </a:xfrm>
        <a:prstGeom prst="rect">
          <a:avLst/>
        </a:prstGeom>
      </xdr:spPr>
    </xdr:pic>
    <xdr:clientData/>
  </xdr:twoCellAnchor>
  <xdr:twoCellAnchor>
    <xdr:from>
      <xdr:col>0</xdr:col>
      <xdr:colOff>66676</xdr:colOff>
      <xdr:row>13</xdr:row>
      <xdr:rowOff>28575</xdr:rowOff>
    </xdr:from>
    <xdr:to>
      <xdr:col>0</xdr:col>
      <xdr:colOff>2133600</xdr:colOff>
      <xdr:row>15</xdr:row>
      <xdr:rowOff>38100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6676" y="2657475"/>
          <a:ext cx="2066924" cy="3905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 PRINCIPAL</a:t>
          </a:r>
        </a:p>
      </xdr:txBody>
    </xdr:sp>
    <xdr:clientData/>
  </xdr:twoCellAnchor>
  <xdr:twoCellAnchor>
    <xdr:from>
      <xdr:col>0</xdr:col>
      <xdr:colOff>38101</xdr:colOff>
      <xdr:row>15</xdr:row>
      <xdr:rowOff>152400</xdr:rowOff>
    </xdr:from>
    <xdr:to>
      <xdr:col>0</xdr:col>
      <xdr:colOff>2133601</xdr:colOff>
      <xdr:row>16</xdr:row>
      <xdr:rowOff>228600</xdr:rowOff>
    </xdr:to>
    <xdr:sp macro="[0]!BuscarHorari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38101" y="3162300"/>
          <a:ext cx="2095500" cy="2667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</a:t>
          </a:r>
        </a:p>
      </xdr:txBody>
    </xdr:sp>
    <xdr:clientData/>
  </xdr:twoCellAnchor>
  <xdr:twoCellAnchor>
    <xdr:from>
      <xdr:col>0</xdr:col>
      <xdr:colOff>95251</xdr:colOff>
      <xdr:row>21</xdr:row>
      <xdr:rowOff>133350</xdr:rowOff>
    </xdr:from>
    <xdr:to>
      <xdr:col>0</xdr:col>
      <xdr:colOff>1333501</xdr:colOff>
      <xdr:row>23</xdr:row>
      <xdr:rowOff>76200</xdr:rowOff>
    </xdr:to>
    <xdr:sp macro="[0]!MesAñ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5251" y="4410075"/>
          <a:ext cx="1238250" cy="3238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MES</a:t>
          </a:r>
          <a:r>
            <a:rPr lang="es-ES" sz="1600" b="1" baseline="0"/>
            <a:t> - </a:t>
          </a:r>
          <a:r>
            <a:rPr lang="es-ES" sz="1400" b="1" baseline="0"/>
            <a:t>AÑO</a:t>
          </a:r>
          <a:endParaRPr lang="es-ES" sz="1400" b="1"/>
        </a:p>
      </xdr:txBody>
    </xdr:sp>
    <xdr:clientData/>
  </xdr:twoCellAnchor>
  <xdr:twoCellAnchor>
    <xdr:from>
      <xdr:col>3</xdr:col>
      <xdr:colOff>409575</xdr:colOff>
      <xdr:row>14</xdr:row>
      <xdr:rowOff>28575</xdr:rowOff>
    </xdr:from>
    <xdr:to>
      <xdr:col>4</xdr:col>
      <xdr:colOff>638175</xdr:colOff>
      <xdr:row>15</xdr:row>
      <xdr:rowOff>104774</xdr:rowOff>
    </xdr:to>
    <xdr:sp macro="[0]!EmergenciaPDF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4933950" y="2847975"/>
          <a:ext cx="1762125" cy="2666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EMERGENCIA PDF</a:t>
          </a:r>
        </a:p>
      </xdr:txBody>
    </xdr:sp>
    <xdr:clientData/>
  </xdr:twoCellAnchor>
  <xdr:twoCellAnchor>
    <xdr:from>
      <xdr:col>1</xdr:col>
      <xdr:colOff>38100</xdr:colOff>
      <xdr:row>12</xdr:row>
      <xdr:rowOff>66675</xdr:rowOff>
    </xdr:from>
    <xdr:to>
      <xdr:col>3</xdr:col>
      <xdr:colOff>295275</xdr:colOff>
      <xdr:row>15</xdr:row>
      <xdr:rowOff>85725</xdr:rowOff>
    </xdr:to>
    <xdr:sp macro="[0]!OcultarColumn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2228850" y="2505075"/>
          <a:ext cx="2590800" cy="5905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OCULTAR</a:t>
          </a:r>
          <a:r>
            <a:rPr lang="es-ES" sz="1400" b="1" baseline="0"/>
            <a:t> COLUMNAS PARA  PDF</a:t>
          </a:r>
        </a:p>
        <a:p>
          <a:pPr algn="ctr"/>
          <a:endParaRPr lang="es-ES" sz="1400" b="1"/>
        </a:p>
      </xdr:txBody>
    </xdr:sp>
    <xdr:clientData/>
  </xdr:twoCellAnchor>
  <xdr:twoCellAnchor>
    <xdr:from>
      <xdr:col>3</xdr:col>
      <xdr:colOff>419100</xdr:colOff>
      <xdr:row>12</xdr:row>
      <xdr:rowOff>47624</xdr:rowOff>
    </xdr:from>
    <xdr:to>
      <xdr:col>4</xdr:col>
      <xdr:colOff>809625</xdr:colOff>
      <xdr:row>13</xdr:row>
      <xdr:rowOff>133349</xdr:rowOff>
    </xdr:to>
    <xdr:sp macro="[0]!ExpandirColumn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943475" y="2486024"/>
          <a:ext cx="1924050" cy="2762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EXPANDIR COLUMNAS</a:t>
          </a:r>
          <a:r>
            <a:rPr lang="es-ES" sz="1400" b="1" baseline="0"/>
            <a:t> </a:t>
          </a:r>
          <a:endParaRPr lang="es-ES" sz="1400" b="1"/>
        </a:p>
      </xdr:txBody>
    </xdr:sp>
    <xdr:clientData/>
  </xdr:twoCellAnchor>
  <xdr:twoCellAnchor>
    <xdr:from>
      <xdr:col>1</xdr:col>
      <xdr:colOff>933449</xdr:colOff>
      <xdr:row>21</xdr:row>
      <xdr:rowOff>152400</xdr:rowOff>
    </xdr:from>
    <xdr:to>
      <xdr:col>3</xdr:col>
      <xdr:colOff>647700</xdr:colOff>
      <xdr:row>23</xdr:row>
      <xdr:rowOff>66675</xdr:rowOff>
    </xdr:to>
    <xdr:sp macro="[0]!BorrarFila" textlink="">
      <xdr:nvSpPr>
        <xdr:cNvPr id="9" name="Rectángulo: esquinas redondeadas 17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3124199" y="4429125"/>
          <a:ext cx="2047876" cy="2952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ELIMINAR</a:t>
          </a:r>
          <a:r>
            <a:rPr lang="es-ES" sz="1200" b="1" baseline="0"/>
            <a:t> </a:t>
          </a:r>
          <a:r>
            <a:rPr lang="es-ES" sz="1200" b="1"/>
            <a:t>PRIMERA FILA</a:t>
          </a:r>
        </a:p>
      </xdr:txBody>
    </xdr:sp>
    <xdr:clientData/>
  </xdr:twoCellAnchor>
  <xdr:twoCellAnchor>
    <xdr:from>
      <xdr:col>0</xdr:col>
      <xdr:colOff>104775</xdr:colOff>
      <xdr:row>19</xdr:row>
      <xdr:rowOff>47626</xdr:rowOff>
    </xdr:from>
    <xdr:to>
      <xdr:col>0</xdr:col>
      <xdr:colOff>2095500</xdr:colOff>
      <xdr:row>21</xdr:row>
      <xdr:rowOff>9526</xdr:rowOff>
    </xdr:to>
    <xdr:sp macro="[0]!LimpiarBunquedaHorarios" textlink="">
      <xdr:nvSpPr>
        <xdr:cNvPr id="10" name="Rectángulo: esquinas redondeadas 1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104775" y="3943351"/>
          <a:ext cx="1990725" cy="3429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ELIMINAR BÚSQUEDA</a:t>
          </a:r>
        </a:p>
      </xdr:txBody>
    </xdr:sp>
    <xdr:clientData/>
  </xdr:twoCellAnchor>
  <xdr:twoCellAnchor>
    <xdr:from>
      <xdr:col>1</xdr:col>
      <xdr:colOff>66674</xdr:colOff>
      <xdr:row>19</xdr:row>
      <xdr:rowOff>66676</xdr:rowOff>
    </xdr:from>
    <xdr:to>
      <xdr:col>2</xdr:col>
      <xdr:colOff>133349</xdr:colOff>
      <xdr:row>20</xdr:row>
      <xdr:rowOff>180976</xdr:rowOff>
    </xdr:to>
    <xdr:sp macro="[0]!Guardar" textlink="">
      <xdr:nvSpPr>
        <xdr:cNvPr id="11" name="Rectángulo: esquinas redondeadas 17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2257424" y="3962401"/>
          <a:ext cx="1247775" cy="3048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twoCellAnchor>
    <xdr:from>
      <xdr:col>0</xdr:col>
      <xdr:colOff>1543050</xdr:colOff>
      <xdr:row>21</xdr:row>
      <xdr:rowOff>133350</xdr:rowOff>
    </xdr:from>
    <xdr:to>
      <xdr:col>1</xdr:col>
      <xdr:colOff>828675</xdr:colOff>
      <xdr:row>23</xdr:row>
      <xdr:rowOff>76200</xdr:rowOff>
    </xdr:to>
    <xdr:sp macro="[0]!FechaMesAño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1543050" y="4410075"/>
          <a:ext cx="1476375" cy="3238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FECHA - ENTRADA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161926</xdr:colOff>
      <xdr:row>0</xdr:row>
      <xdr:rowOff>85725</xdr:rowOff>
    </xdr:from>
    <xdr:ext cx="10229849" cy="1552575"/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6" y="85725"/>
          <a:ext cx="10229849" cy="1552575"/>
        </a:xfrm>
        <a:prstGeom prst="rect">
          <a:avLst/>
        </a:prstGeom>
      </xdr:spPr>
    </xdr:pic>
    <xdr:clientData/>
  </xdr:oneCellAnchor>
  <xdr:twoCellAnchor>
    <xdr:from>
      <xdr:col>7</xdr:col>
      <xdr:colOff>38100</xdr:colOff>
      <xdr:row>0</xdr:row>
      <xdr:rowOff>66675</xdr:rowOff>
    </xdr:from>
    <xdr:to>
      <xdr:col>7</xdr:col>
      <xdr:colOff>2181225</xdr:colOff>
      <xdr:row>3</xdr:row>
      <xdr:rowOff>19050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0801350" y="66675"/>
          <a:ext cx="2143125" cy="5238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</a:t>
          </a:r>
          <a:r>
            <a:rPr lang="es-ES" sz="1600" b="1" baseline="0"/>
            <a:t> PRINCIPAL</a:t>
          </a:r>
          <a:endParaRPr lang="es-ES" sz="1600" b="1"/>
        </a:p>
      </xdr:txBody>
    </xdr:sp>
    <xdr:clientData/>
  </xdr:twoCellAnchor>
  <xdr:twoCellAnchor>
    <xdr:from>
      <xdr:col>7</xdr:col>
      <xdr:colOff>28575</xdr:colOff>
      <xdr:row>3</xdr:row>
      <xdr:rowOff>85725</xdr:rowOff>
    </xdr:from>
    <xdr:to>
      <xdr:col>7</xdr:col>
      <xdr:colOff>2171700</xdr:colOff>
      <xdr:row>6</xdr:row>
      <xdr:rowOff>38100</xdr:rowOff>
    </xdr:to>
    <xdr:sp macro="[0]!BuscarPaquet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0791825" y="657225"/>
          <a:ext cx="2143125" cy="5238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</a:t>
          </a:r>
        </a:p>
      </xdr:txBody>
    </xdr:sp>
    <xdr:clientData/>
  </xdr:twoCellAnchor>
  <xdr:twoCellAnchor>
    <xdr:from>
      <xdr:col>8</xdr:col>
      <xdr:colOff>66675</xdr:colOff>
      <xdr:row>0</xdr:row>
      <xdr:rowOff>66674</xdr:rowOff>
    </xdr:from>
    <xdr:to>
      <xdr:col>9</xdr:col>
      <xdr:colOff>695325</xdr:colOff>
      <xdr:row>3</xdr:row>
      <xdr:rowOff>171450</xdr:rowOff>
    </xdr:to>
    <xdr:sp macro="[0]!AumentarLineaPaqueteri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058775" y="66674"/>
          <a:ext cx="1495425" cy="67627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AUMENTAR</a:t>
          </a:r>
          <a:r>
            <a:rPr lang="es-ES" sz="1600" b="1" baseline="0"/>
            <a:t> LÍNEA</a:t>
          </a:r>
        </a:p>
      </xdr:txBody>
    </xdr:sp>
    <xdr:clientData/>
  </xdr:twoCellAnchor>
  <xdr:twoCellAnchor>
    <xdr:from>
      <xdr:col>8</xdr:col>
      <xdr:colOff>104774</xdr:colOff>
      <xdr:row>4</xdr:row>
      <xdr:rowOff>66675</xdr:rowOff>
    </xdr:from>
    <xdr:to>
      <xdr:col>9</xdr:col>
      <xdr:colOff>695324</xdr:colOff>
      <xdr:row>7</xdr:row>
      <xdr:rowOff>19050</xdr:rowOff>
    </xdr:to>
    <xdr:sp macro="[0]!LimpiarBusquedaPaqueteri" textlink="">
      <xdr:nvSpPr>
        <xdr:cNvPr id="6" name="Rectángulo: esquinas redondeadas 1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096874" y="828675"/>
          <a:ext cx="1457325" cy="5238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ELIMINAR BÚSQUEDA</a:t>
          </a:r>
        </a:p>
      </xdr:txBody>
    </xdr:sp>
    <xdr:clientData/>
  </xdr:twoCellAnchor>
  <xdr:twoCellAnchor>
    <xdr:from>
      <xdr:col>8</xdr:col>
      <xdr:colOff>142874</xdr:colOff>
      <xdr:row>7</xdr:row>
      <xdr:rowOff>142875</xdr:rowOff>
    </xdr:from>
    <xdr:to>
      <xdr:col>9</xdr:col>
      <xdr:colOff>409574</xdr:colOff>
      <xdr:row>9</xdr:row>
      <xdr:rowOff>104775</xdr:rowOff>
    </xdr:to>
    <xdr:sp macro="[0]!Guardar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134974" y="1476375"/>
          <a:ext cx="1133475" cy="3429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twoCellAnchor>
    <xdr:from>
      <xdr:col>8</xdr:col>
      <xdr:colOff>133350</xdr:colOff>
      <xdr:row>9</xdr:row>
      <xdr:rowOff>190501</xdr:rowOff>
    </xdr:from>
    <xdr:to>
      <xdr:col>9</xdr:col>
      <xdr:colOff>723900</xdr:colOff>
      <xdr:row>10</xdr:row>
      <xdr:rowOff>38101</xdr:rowOff>
    </xdr:to>
    <xdr:sp macro="[0]!FechaHoraPaqueteri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13125450" y="1905001"/>
          <a:ext cx="1457325" cy="2476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FECHA - HORA</a:t>
          </a:r>
        </a:p>
      </xdr:txBody>
    </xdr:sp>
    <xdr:clientData/>
  </xdr:twoCellAnchor>
  <xdr:twoCellAnchor>
    <xdr:from>
      <xdr:col>6</xdr:col>
      <xdr:colOff>1924049</xdr:colOff>
      <xdr:row>6</xdr:row>
      <xdr:rowOff>133351</xdr:rowOff>
    </xdr:from>
    <xdr:to>
      <xdr:col>7</xdr:col>
      <xdr:colOff>2143124</xdr:colOff>
      <xdr:row>8</xdr:row>
      <xdr:rowOff>38101</xdr:rowOff>
    </xdr:to>
    <xdr:sp macro="[0]!EliminarPrimeraLineaPaqueteria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10458449" y="1276351"/>
          <a:ext cx="2447925" cy="2857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 PRIMERA</a:t>
          </a:r>
          <a:r>
            <a:rPr lang="es-ES" sz="1600" b="1" baseline="0"/>
            <a:t> LÍNEA</a:t>
          </a:r>
          <a:endParaRPr lang="es-ES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180975</xdr:colOff>
      <xdr:row>2</xdr:row>
      <xdr:rowOff>95250</xdr:rowOff>
    </xdr:from>
    <xdr:ext cx="7762875" cy="1285875"/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76250"/>
          <a:ext cx="7762875" cy="1285875"/>
        </a:xfrm>
        <a:prstGeom prst="rect">
          <a:avLst/>
        </a:prstGeom>
      </xdr:spPr>
    </xdr:pic>
    <xdr:clientData/>
  </xdr:oneCellAnchor>
  <xdr:twoCellAnchor>
    <xdr:from>
      <xdr:col>1</xdr:col>
      <xdr:colOff>1838324</xdr:colOff>
      <xdr:row>9</xdr:row>
      <xdr:rowOff>47625</xdr:rowOff>
    </xdr:from>
    <xdr:to>
      <xdr:col>2</xdr:col>
      <xdr:colOff>590550</xdr:colOff>
      <xdr:row>11</xdr:row>
      <xdr:rowOff>66674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2867024" y="1762125"/>
          <a:ext cx="1905001" cy="40004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 PRINCIPAL</a:t>
          </a:r>
        </a:p>
      </xdr:txBody>
    </xdr:sp>
    <xdr:clientData/>
  </xdr:twoCellAnchor>
  <xdr:twoCellAnchor>
    <xdr:from>
      <xdr:col>0</xdr:col>
      <xdr:colOff>114300</xdr:colOff>
      <xdr:row>9</xdr:row>
      <xdr:rowOff>47625</xdr:rowOff>
    </xdr:from>
    <xdr:to>
      <xdr:col>1</xdr:col>
      <xdr:colOff>409575</xdr:colOff>
      <xdr:row>11</xdr:row>
      <xdr:rowOff>57150</xdr:rowOff>
    </xdr:to>
    <xdr:sp macro="[0]!BuscarLlav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114300" y="1762125"/>
          <a:ext cx="1323975" cy="3905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</a:t>
          </a:r>
        </a:p>
      </xdr:txBody>
    </xdr:sp>
    <xdr:clientData/>
  </xdr:twoCellAnchor>
  <xdr:twoCellAnchor>
    <xdr:from>
      <xdr:col>1</xdr:col>
      <xdr:colOff>495300</xdr:colOff>
      <xdr:row>24</xdr:row>
      <xdr:rowOff>57149</xdr:rowOff>
    </xdr:from>
    <xdr:to>
      <xdr:col>1</xdr:col>
      <xdr:colOff>2352675</xdr:colOff>
      <xdr:row>25</xdr:row>
      <xdr:rowOff>133349</xdr:rowOff>
    </xdr:to>
    <xdr:sp macro="[0]!AumentarLineasLlave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524000" y="5114924"/>
          <a:ext cx="1857375" cy="2762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AUMENTAR</a:t>
          </a:r>
          <a:r>
            <a:rPr lang="es-ES" sz="1600" b="1" baseline="0"/>
            <a:t> LÍNEAS</a:t>
          </a:r>
          <a:endParaRPr lang="es-ES" sz="1600" b="1"/>
        </a:p>
      </xdr:txBody>
    </xdr:sp>
    <xdr:clientData/>
  </xdr:twoCellAnchor>
  <xdr:twoCellAnchor>
    <xdr:from>
      <xdr:col>1</xdr:col>
      <xdr:colOff>542924</xdr:colOff>
      <xdr:row>9</xdr:row>
      <xdr:rowOff>28575</xdr:rowOff>
    </xdr:from>
    <xdr:to>
      <xdr:col>1</xdr:col>
      <xdr:colOff>1695450</xdr:colOff>
      <xdr:row>11</xdr:row>
      <xdr:rowOff>66676</xdr:rowOff>
    </xdr:to>
    <xdr:sp macro="[0]!Guardar" textlink="">
      <xdr:nvSpPr>
        <xdr:cNvPr id="6" name="Rectángulo: esquinas redondeadas 17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571624" y="1743075"/>
          <a:ext cx="1152526" cy="41910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twoCellAnchor>
    <xdr:from>
      <xdr:col>2</xdr:col>
      <xdr:colOff>742949</xdr:colOff>
      <xdr:row>9</xdr:row>
      <xdr:rowOff>57150</xdr:rowOff>
    </xdr:from>
    <xdr:to>
      <xdr:col>3</xdr:col>
      <xdr:colOff>619125</xdr:colOff>
      <xdr:row>11</xdr:row>
      <xdr:rowOff>76199</xdr:rowOff>
    </xdr:to>
    <xdr:sp macro="[0]!LimpiarBuquedaLlaves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4924424" y="1771650"/>
          <a:ext cx="2124076" cy="40004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 BÚSQUEDA</a:t>
          </a:r>
        </a:p>
      </xdr:txBody>
    </xdr:sp>
    <xdr:clientData/>
  </xdr:twoCellAnchor>
  <xdr:twoCellAnchor>
    <xdr:from>
      <xdr:col>0</xdr:col>
      <xdr:colOff>9525</xdr:colOff>
      <xdr:row>24</xdr:row>
      <xdr:rowOff>28576</xdr:rowOff>
    </xdr:from>
    <xdr:to>
      <xdr:col>1</xdr:col>
      <xdr:colOff>428625</xdr:colOff>
      <xdr:row>25</xdr:row>
      <xdr:rowOff>142875</xdr:rowOff>
    </xdr:to>
    <xdr:sp macro="[0]!FechaHoraLlave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9525" y="5086351"/>
          <a:ext cx="1447800" cy="314324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FECHA - HORA</a:t>
          </a:r>
        </a:p>
      </xdr:txBody>
    </xdr:sp>
    <xdr:clientData/>
  </xdr:twoCellAnchor>
  <xdr:twoCellAnchor>
    <xdr:from>
      <xdr:col>3</xdr:col>
      <xdr:colOff>47625</xdr:colOff>
      <xdr:row>24</xdr:row>
      <xdr:rowOff>85724</xdr:rowOff>
    </xdr:from>
    <xdr:to>
      <xdr:col>5</xdr:col>
      <xdr:colOff>866775</xdr:colOff>
      <xdr:row>25</xdr:row>
      <xdr:rowOff>133350</xdr:rowOff>
    </xdr:to>
    <xdr:sp macro="[0]!EliminarPrimeraFilaLlav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6477000" y="5143499"/>
          <a:ext cx="2343150" cy="247651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 PRIMERA FILA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0</xdr:row>
      <xdr:rowOff>149678</xdr:rowOff>
    </xdr:from>
    <xdr:ext cx="8087285" cy="1049351"/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49678"/>
          <a:ext cx="8087285" cy="1049351"/>
        </a:xfrm>
        <a:prstGeom prst="rect">
          <a:avLst/>
        </a:prstGeom>
      </xdr:spPr>
    </xdr:pic>
    <xdr:clientData/>
  </xdr:oneCellAnchor>
  <xdr:twoCellAnchor>
    <xdr:from>
      <xdr:col>0</xdr:col>
      <xdr:colOff>112058</xdr:colOff>
      <xdr:row>9</xdr:row>
      <xdr:rowOff>134470</xdr:rowOff>
    </xdr:from>
    <xdr:to>
      <xdr:col>1</xdr:col>
      <xdr:colOff>974912</xdr:colOff>
      <xdr:row>11</xdr:row>
      <xdr:rowOff>176091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12058" y="2454088"/>
          <a:ext cx="2073089" cy="422621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</a:t>
          </a:r>
          <a:r>
            <a:rPr lang="es-ES" sz="1600" b="1" baseline="0"/>
            <a:t> PRINCIPAL</a:t>
          </a:r>
          <a:endParaRPr lang="es-ES" sz="1600" b="1"/>
        </a:p>
      </xdr:txBody>
    </xdr:sp>
    <xdr:clientData/>
  </xdr:twoCellAnchor>
  <xdr:twoCellAnchor>
    <xdr:from>
      <xdr:col>3</xdr:col>
      <xdr:colOff>1222241</xdr:colOff>
      <xdr:row>12</xdr:row>
      <xdr:rowOff>112058</xdr:rowOff>
    </xdr:from>
    <xdr:to>
      <xdr:col>5</xdr:col>
      <xdr:colOff>481853</xdr:colOff>
      <xdr:row>14</xdr:row>
      <xdr:rowOff>145675</xdr:rowOff>
    </xdr:to>
    <xdr:sp macro="[0]!AumentarLineasMateri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5727006" y="3003176"/>
          <a:ext cx="1949023" cy="41461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AUMENTAR</a:t>
          </a:r>
          <a:r>
            <a:rPr lang="es-ES" sz="1600" b="1" baseline="0"/>
            <a:t> LÍNEAS</a:t>
          </a:r>
          <a:endParaRPr lang="es-ES" sz="1600" b="1"/>
        </a:p>
      </xdr:txBody>
    </xdr:sp>
    <xdr:clientData/>
  </xdr:twoCellAnchor>
  <xdr:twoCellAnchor>
    <xdr:from>
      <xdr:col>1</xdr:col>
      <xdr:colOff>1086971</xdr:colOff>
      <xdr:row>9</xdr:row>
      <xdr:rowOff>136870</xdr:rowOff>
    </xdr:from>
    <xdr:to>
      <xdr:col>2</xdr:col>
      <xdr:colOff>582705</xdr:colOff>
      <xdr:row>12</xdr:row>
      <xdr:rowOff>11203</xdr:rowOff>
    </xdr:to>
    <xdr:sp macro="[0]!BuscarMateri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2297206" y="2456488"/>
          <a:ext cx="1367117" cy="445833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</a:t>
          </a:r>
        </a:p>
      </xdr:txBody>
    </xdr:sp>
    <xdr:clientData/>
  </xdr:twoCellAnchor>
  <xdr:twoCellAnchor>
    <xdr:from>
      <xdr:col>2</xdr:col>
      <xdr:colOff>739588</xdr:colOff>
      <xdr:row>9</xdr:row>
      <xdr:rowOff>123264</xdr:rowOff>
    </xdr:from>
    <xdr:to>
      <xdr:col>3</xdr:col>
      <xdr:colOff>1535205</xdr:colOff>
      <xdr:row>12</xdr:row>
      <xdr:rowOff>0</xdr:rowOff>
    </xdr:to>
    <xdr:sp macro="[0]!LimpiarBusquedaMaterial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3821206" y="2442882"/>
          <a:ext cx="2218764" cy="44823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 BÚSQUEDA</a:t>
          </a:r>
        </a:p>
      </xdr:txBody>
    </xdr:sp>
    <xdr:clientData/>
  </xdr:twoCellAnchor>
  <xdr:twoCellAnchor>
    <xdr:from>
      <xdr:col>0</xdr:col>
      <xdr:colOff>107576</xdr:colOff>
      <xdr:row>12</xdr:row>
      <xdr:rowOff>107576</xdr:rowOff>
    </xdr:from>
    <xdr:to>
      <xdr:col>1</xdr:col>
      <xdr:colOff>123264</xdr:colOff>
      <xdr:row>14</xdr:row>
      <xdr:rowOff>100852</xdr:rowOff>
    </xdr:to>
    <xdr:sp macro="[0]!Guardar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107576" y="2998694"/>
          <a:ext cx="1225923" cy="3742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twoCellAnchor>
    <xdr:from>
      <xdr:col>1</xdr:col>
      <xdr:colOff>253255</xdr:colOff>
      <xdr:row>12</xdr:row>
      <xdr:rowOff>112058</xdr:rowOff>
    </xdr:from>
    <xdr:to>
      <xdr:col>1</xdr:col>
      <xdr:colOff>1815355</xdr:colOff>
      <xdr:row>14</xdr:row>
      <xdr:rowOff>129988</xdr:rowOff>
    </xdr:to>
    <xdr:sp macro="[0]!FechaHoraMate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1463490" y="3003176"/>
          <a:ext cx="1562100" cy="39893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FECHA - HORA</a:t>
          </a:r>
        </a:p>
      </xdr:txBody>
    </xdr:sp>
    <xdr:clientData/>
  </xdr:twoCellAnchor>
  <xdr:twoCellAnchor>
    <xdr:from>
      <xdr:col>2</xdr:col>
      <xdr:colOff>47063</xdr:colOff>
      <xdr:row>12</xdr:row>
      <xdr:rowOff>123264</xdr:rowOff>
    </xdr:from>
    <xdr:to>
      <xdr:col>3</xdr:col>
      <xdr:colOff>1075764</xdr:colOff>
      <xdr:row>14</xdr:row>
      <xdr:rowOff>147917</xdr:rowOff>
    </xdr:to>
    <xdr:sp macro="[0]!EliminarPrimeraLineaMaterial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3128681" y="3014382"/>
          <a:ext cx="2451848" cy="405653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ELIMINAR</a:t>
          </a:r>
          <a:r>
            <a:rPr lang="es-ES" sz="1400" b="1" baseline="0"/>
            <a:t> PRIMERA LÍNEA</a:t>
          </a:r>
          <a:endParaRPr lang="es-ES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13</xdr:row>
      <xdr:rowOff>47624</xdr:rowOff>
    </xdr:from>
    <xdr:to>
      <xdr:col>13</xdr:col>
      <xdr:colOff>247651</xdr:colOff>
      <xdr:row>14</xdr:row>
      <xdr:rowOff>114300</xdr:rowOff>
    </xdr:to>
    <xdr:sp macro="" textlink="">
      <xdr:nvSpPr>
        <xdr:cNvPr id="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13868400" y="3219449"/>
          <a:ext cx="1704976" cy="266701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PÁGINA PRINCIPAL</a:t>
          </a:r>
        </a:p>
      </xdr:txBody>
    </xdr:sp>
    <xdr:clientData/>
  </xdr:twoCellAnchor>
  <xdr:twoCellAnchor>
    <xdr:from>
      <xdr:col>5</xdr:col>
      <xdr:colOff>95250</xdr:colOff>
      <xdr:row>15</xdr:row>
      <xdr:rowOff>66675</xdr:rowOff>
    </xdr:from>
    <xdr:to>
      <xdr:col>6</xdr:col>
      <xdr:colOff>447676</xdr:colOff>
      <xdr:row>16</xdr:row>
      <xdr:rowOff>66675</xdr:rowOff>
    </xdr:to>
    <xdr:sp macro="[0]!AñadirFilasRopa" textlink="">
      <xdr:nvSpPr>
        <xdr:cNvPr id="3" name="Rectángulo: esquinas redondeadas 17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9153525" y="3638550"/>
          <a:ext cx="1285876" cy="2667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AÑADIR FILAS</a:t>
          </a:r>
        </a:p>
      </xdr:txBody>
    </xdr:sp>
    <xdr:clientData/>
  </xdr:twoCellAnchor>
  <xdr:twoCellAnchor>
    <xdr:from>
      <xdr:col>11</xdr:col>
      <xdr:colOff>85725</xdr:colOff>
      <xdr:row>11</xdr:row>
      <xdr:rowOff>123825</xdr:rowOff>
    </xdr:from>
    <xdr:to>
      <xdr:col>12</xdr:col>
      <xdr:colOff>381000</xdr:colOff>
      <xdr:row>12</xdr:row>
      <xdr:rowOff>190500</xdr:rowOff>
    </xdr:to>
    <xdr:sp macro="[0]!Guardar" textlink="">
      <xdr:nvSpPr>
        <xdr:cNvPr id="4" name="Rectángulo: esquinas redondeadas 17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13887450" y="2886075"/>
          <a:ext cx="1057275" cy="2762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GUARDAR</a:t>
          </a:r>
        </a:p>
      </xdr:txBody>
    </xdr:sp>
    <xdr:clientData/>
  </xdr:twoCellAnchor>
  <xdr:oneCellAnchor>
    <xdr:from>
      <xdr:col>14</xdr:col>
      <xdr:colOff>271462</xdr:colOff>
      <xdr:row>0</xdr:row>
      <xdr:rowOff>123824</xdr:rowOff>
    </xdr:from>
    <xdr:ext cx="1552575" cy="8967787"/>
    <xdr:pic>
      <xdr:nvPicPr>
        <xdr:cNvPr id="5" name="4 Imagen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12651581" y="3831430"/>
          <a:ext cx="8967787" cy="1552575"/>
        </a:xfrm>
        <a:prstGeom prst="rect">
          <a:avLst/>
        </a:prstGeom>
      </xdr:spPr>
    </xdr:pic>
    <xdr:clientData/>
  </xdr:oneCellAnchor>
  <xdr:twoCellAnchor>
    <xdr:from>
      <xdr:col>8</xdr:col>
      <xdr:colOff>85724</xdr:colOff>
      <xdr:row>15</xdr:row>
      <xdr:rowOff>76201</xdr:rowOff>
    </xdr:from>
    <xdr:to>
      <xdr:col>11</xdr:col>
      <xdr:colOff>380999</xdr:colOff>
      <xdr:row>16</xdr:row>
      <xdr:rowOff>57151</xdr:rowOff>
    </xdr:to>
    <xdr:sp macro="[0]!EliminarPrimeraFilaRop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1601449" y="3648076"/>
          <a:ext cx="2581275" cy="2476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</a:t>
          </a:r>
          <a:r>
            <a:rPr lang="es-ES" sz="1600" b="1" baseline="0"/>
            <a:t> PRIMERA FILA</a:t>
          </a:r>
          <a:endParaRPr lang="es-ES" sz="1600" b="1"/>
        </a:p>
      </xdr:txBody>
    </xdr:sp>
    <xdr:clientData/>
  </xdr:twoCellAnchor>
  <xdr:twoCellAnchor>
    <xdr:from>
      <xdr:col>6</xdr:col>
      <xdr:colOff>504825</xdr:colOff>
      <xdr:row>15</xdr:row>
      <xdr:rowOff>76200</xdr:rowOff>
    </xdr:from>
    <xdr:to>
      <xdr:col>7</xdr:col>
      <xdr:colOff>752475</xdr:colOff>
      <xdr:row>16</xdr:row>
      <xdr:rowOff>76200</xdr:rowOff>
    </xdr:to>
    <xdr:sp macro="[0]!FechaRopa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10496550" y="3648075"/>
          <a:ext cx="1009650" cy="2667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FECHA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502227</xdr:colOff>
      <xdr:row>1</xdr:row>
      <xdr:rowOff>294410</xdr:rowOff>
    </xdr:from>
    <xdr:to>
      <xdr:col>7</xdr:col>
      <xdr:colOff>571499</xdr:colOff>
      <xdr:row>4</xdr:row>
      <xdr:rowOff>17318</xdr:rowOff>
    </xdr:to>
    <xdr:sp macro="" textlink="">
      <xdr:nvSpPr>
        <xdr:cNvPr id="2" name="1 Elipse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4312227" y="751610"/>
          <a:ext cx="1593272" cy="1608858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221673</xdr:colOff>
      <xdr:row>1</xdr:row>
      <xdr:rowOff>308264</xdr:rowOff>
    </xdr:from>
    <xdr:to>
      <xdr:col>5</xdr:col>
      <xdr:colOff>290945</xdr:colOff>
      <xdr:row>4</xdr:row>
      <xdr:rowOff>31172</xdr:rowOff>
    </xdr:to>
    <xdr:sp macro="" textlink="">
      <xdr:nvSpPr>
        <xdr:cNvPr id="3" name="2 Elipse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507673" y="765464"/>
          <a:ext cx="1593272" cy="1608858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218210</xdr:colOff>
      <xdr:row>4</xdr:row>
      <xdr:rowOff>529937</xdr:rowOff>
    </xdr:from>
    <xdr:to>
      <xdr:col>5</xdr:col>
      <xdr:colOff>287482</xdr:colOff>
      <xdr:row>7</xdr:row>
      <xdr:rowOff>252846</xdr:rowOff>
    </xdr:to>
    <xdr:sp macro="" textlink="">
      <xdr:nvSpPr>
        <xdr:cNvPr id="4" name="3 Elipse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2504210" y="2873087"/>
          <a:ext cx="1593272" cy="1608859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145474</xdr:colOff>
      <xdr:row>6</xdr:row>
      <xdr:rowOff>128155</xdr:rowOff>
    </xdr:from>
    <xdr:to>
      <xdr:col>3</xdr:col>
      <xdr:colOff>214746</xdr:colOff>
      <xdr:row>8</xdr:row>
      <xdr:rowOff>474518</xdr:rowOff>
    </xdr:to>
    <xdr:sp macro="" textlink="">
      <xdr:nvSpPr>
        <xdr:cNvPr id="5" name="4 Elipse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907474" y="3728605"/>
          <a:ext cx="1593272" cy="1603663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142010</xdr:colOff>
      <xdr:row>2</xdr:row>
      <xdr:rowOff>574964</xdr:rowOff>
    </xdr:from>
    <xdr:to>
      <xdr:col>3</xdr:col>
      <xdr:colOff>211282</xdr:colOff>
      <xdr:row>5</xdr:row>
      <xdr:rowOff>297873</xdr:rowOff>
    </xdr:to>
    <xdr:sp macro="" textlink="">
      <xdr:nvSpPr>
        <xdr:cNvPr id="6" name="5 Elipse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904010" y="1660814"/>
          <a:ext cx="1593272" cy="1608859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13608</xdr:colOff>
      <xdr:row>1</xdr:row>
      <xdr:rowOff>163286</xdr:rowOff>
    </xdr:from>
    <xdr:to>
      <xdr:col>18</xdr:col>
      <xdr:colOff>547008</xdr:colOff>
      <xdr:row>3</xdr:row>
      <xdr:rowOff>179614</xdr:rowOff>
    </xdr:to>
    <xdr:sp macro="" textlink="">
      <xdr:nvSpPr>
        <xdr:cNvPr id="7" name="Rectángulo: esquinas redondeada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2205608" y="367393"/>
          <a:ext cx="2057400" cy="7239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PAGINA PRINCIPAL</a:t>
          </a:r>
        </a:p>
      </xdr:txBody>
    </xdr:sp>
    <xdr:clientData/>
  </xdr:twoCellAnchor>
  <xdr:twoCellAnchor>
    <xdr:from>
      <xdr:col>17</xdr:col>
      <xdr:colOff>108857</xdr:colOff>
      <xdr:row>4</xdr:row>
      <xdr:rowOff>40822</xdr:rowOff>
    </xdr:from>
    <xdr:to>
      <xdr:col>18</xdr:col>
      <xdr:colOff>680357</xdr:colOff>
      <xdr:row>5</xdr:row>
      <xdr:rowOff>190500</xdr:rowOff>
    </xdr:to>
    <xdr:sp macro="[0]!Guardar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13062857" y="1306286"/>
          <a:ext cx="1333500" cy="503464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oneCellAnchor>
    <xdr:from>
      <xdr:col>1</xdr:col>
      <xdr:colOff>0</xdr:colOff>
      <xdr:row>18</xdr:row>
      <xdr:rowOff>136072</xdr:rowOff>
    </xdr:from>
    <xdr:ext cx="23962179" cy="3415393"/>
    <xdr:pic>
      <xdr:nvPicPr>
        <xdr:cNvPr id="9" name="8 Imagen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87643"/>
          <a:ext cx="23962179" cy="341539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0</xdr:row>
      <xdr:rowOff>152401</xdr:rowOff>
    </xdr:from>
    <xdr:to>
      <xdr:col>16</xdr:col>
      <xdr:colOff>95249</xdr:colOff>
      <xdr:row>1</xdr:row>
      <xdr:rowOff>428626</xdr:rowOff>
    </xdr:to>
    <xdr:sp macro="" textlink="">
      <xdr:nvSpPr>
        <xdr:cNvPr id="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0125074" y="152401"/>
          <a:ext cx="2162175" cy="4762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 PRINCIPAL</a:t>
          </a:r>
        </a:p>
      </xdr:txBody>
    </xdr:sp>
    <xdr:clientData/>
  </xdr:twoCellAnchor>
  <xdr:twoCellAnchor>
    <xdr:from>
      <xdr:col>13</xdr:col>
      <xdr:colOff>241788</xdr:colOff>
      <xdr:row>3</xdr:row>
      <xdr:rowOff>73270</xdr:rowOff>
    </xdr:from>
    <xdr:to>
      <xdr:col>14</xdr:col>
      <xdr:colOff>652096</xdr:colOff>
      <xdr:row>3</xdr:row>
      <xdr:rowOff>373673</xdr:rowOff>
    </xdr:to>
    <xdr:sp macro="[0]!Guardar" textlink="">
      <xdr:nvSpPr>
        <xdr:cNvPr id="4" name="Rectángulo: esquinas redondeadas 17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10147788" y="1047751"/>
          <a:ext cx="1172308" cy="300403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oneCellAnchor>
    <xdr:from>
      <xdr:col>13</xdr:col>
      <xdr:colOff>241788</xdr:colOff>
      <xdr:row>3</xdr:row>
      <xdr:rowOff>630117</xdr:rowOff>
    </xdr:from>
    <xdr:ext cx="3326424" cy="1135672"/>
    <xdr:pic>
      <xdr:nvPicPr>
        <xdr:cNvPr id="5" name="4 Imagen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7788" y="1604598"/>
          <a:ext cx="3326424" cy="1135672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66674</xdr:colOff>
      <xdr:row>0</xdr:row>
      <xdr:rowOff>123824</xdr:rowOff>
    </xdr:from>
    <xdr:ext cx="9639301" cy="1857375"/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4" y="123824"/>
          <a:ext cx="9639301" cy="1857375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11</xdr:row>
      <xdr:rowOff>95250</xdr:rowOff>
    </xdr:from>
    <xdr:to>
      <xdr:col>1</xdr:col>
      <xdr:colOff>638175</xdr:colOff>
      <xdr:row>13</xdr:row>
      <xdr:rowOff>114300</xdr:rowOff>
    </xdr:to>
    <xdr:sp macro="" textlink="">
      <xdr:nvSpPr>
        <xdr:cNvPr id="3" name="2 Rectángulo redondea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2190750"/>
          <a:ext cx="2105025" cy="4000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 PRINCIPAL</a:t>
          </a:r>
        </a:p>
      </xdr:txBody>
    </xdr:sp>
    <xdr:clientData/>
  </xdr:twoCellAnchor>
  <xdr:twoCellAnchor>
    <xdr:from>
      <xdr:col>3</xdr:col>
      <xdr:colOff>1590675</xdr:colOff>
      <xdr:row>11</xdr:row>
      <xdr:rowOff>104775</xdr:rowOff>
    </xdr:from>
    <xdr:to>
      <xdr:col>4</xdr:col>
      <xdr:colOff>552450</xdr:colOff>
      <xdr:row>13</xdr:row>
      <xdr:rowOff>114302</xdr:rowOff>
    </xdr:to>
    <xdr:sp macro="[0]!BuscarMercancias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5829300" y="2200275"/>
          <a:ext cx="1114425" cy="39052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</a:t>
          </a:r>
        </a:p>
      </xdr:txBody>
    </xdr:sp>
    <xdr:clientData/>
  </xdr:twoCellAnchor>
  <xdr:twoCellAnchor>
    <xdr:from>
      <xdr:col>2</xdr:col>
      <xdr:colOff>809625</xdr:colOff>
      <xdr:row>11</xdr:row>
      <xdr:rowOff>95250</xdr:rowOff>
    </xdr:from>
    <xdr:to>
      <xdr:col>3</xdr:col>
      <xdr:colOff>1476375</xdr:colOff>
      <xdr:row>13</xdr:row>
      <xdr:rowOff>104776</xdr:rowOff>
    </xdr:to>
    <xdr:sp macro="[0]!LimpiarBusquedaMercancia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3552825" y="2190750"/>
          <a:ext cx="2162175" cy="39052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 BÚSQUEDA</a:t>
          </a:r>
        </a:p>
      </xdr:txBody>
    </xdr:sp>
    <xdr:clientData/>
  </xdr:twoCellAnchor>
  <xdr:twoCellAnchor>
    <xdr:from>
      <xdr:col>1</xdr:col>
      <xdr:colOff>742951</xdr:colOff>
      <xdr:row>11</xdr:row>
      <xdr:rowOff>85725</xdr:rowOff>
    </xdr:from>
    <xdr:to>
      <xdr:col>2</xdr:col>
      <xdr:colOff>685801</xdr:colOff>
      <xdr:row>13</xdr:row>
      <xdr:rowOff>95250</xdr:rowOff>
    </xdr:to>
    <xdr:sp macro="[0]!Guardar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2209801" y="2181225"/>
          <a:ext cx="1219200" cy="3905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  <xdr:twoCellAnchor>
    <xdr:from>
      <xdr:col>4</xdr:col>
      <xdr:colOff>657225</xdr:colOff>
      <xdr:row>11</xdr:row>
      <xdr:rowOff>95251</xdr:rowOff>
    </xdr:from>
    <xdr:to>
      <xdr:col>5</xdr:col>
      <xdr:colOff>466725</xdr:colOff>
      <xdr:row>13</xdr:row>
      <xdr:rowOff>95251</xdr:rowOff>
    </xdr:to>
    <xdr:sp macro="[0]!AumentarLineasMercancias" textlink="">
      <xdr:nvSpPr>
        <xdr:cNvPr id="9" name="22 Rectángulo redondeado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7048500" y="2190751"/>
          <a:ext cx="1914525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AUMENTAR LÍNEAS</a:t>
          </a:r>
        </a:p>
      </xdr:txBody>
    </xdr:sp>
    <xdr:clientData/>
  </xdr:twoCellAnchor>
  <xdr:twoCellAnchor editAs="oneCell">
    <xdr:from>
      <xdr:col>6</xdr:col>
      <xdr:colOff>723900</xdr:colOff>
      <xdr:row>20</xdr:row>
      <xdr:rowOff>0</xdr:rowOff>
    </xdr:from>
    <xdr:to>
      <xdr:col>11</xdr:col>
      <xdr:colOff>94852</xdr:colOff>
      <xdr:row>27</xdr:row>
      <xdr:rowOff>313936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39400" y="4191000"/>
          <a:ext cx="3180952" cy="3114286"/>
        </a:xfrm>
        <a:prstGeom prst="rect">
          <a:avLst/>
        </a:prstGeom>
      </xdr:spPr>
    </xdr:pic>
    <xdr:clientData/>
  </xdr:twoCellAnchor>
  <xdr:twoCellAnchor>
    <xdr:from>
      <xdr:col>0</xdr:col>
      <xdr:colOff>133350</xdr:colOff>
      <xdr:row>16</xdr:row>
      <xdr:rowOff>104775</xdr:rowOff>
    </xdr:from>
    <xdr:to>
      <xdr:col>1</xdr:col>
      <xdr:colOff>1190625</xdr:colOff>
      <xdr:row>18</xdr:row>
      <xdr:rowOff>123825</xdr:rowOff>
    </xdr:to>
    <xdr:sp macro="[0]!EliminarPrimeraLineaMercanci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133350" y="3238500"/>
          <a:ext cx="2524125" cy="4000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ELIMINAR PRIMERA LÍNEA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152399</xdr:rowOff>
    </xdr:from>
    <xdr:to>
      <xdr:col>1</xdr:col>
      <xdr:colOff>447675</xdr:colOff>
      <xdr:row>13</xdr:row>
      <xdr:rowOff>85724</xdr:rowOff>
    </xdr:to>
    <xdr:sp macro="" textlink="">
      <xdr:nvSpPr>
        <xdr:cNvPr id="3" name="2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66675" y="2247899"/>
          <a:ext cx="1819275" cy="3143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PÁGINA</a:t>
          </a:r>
          <a:r>
            <a:rPr lang="es-ES" sz="1400" b="1" baseline="0"/>
            <a:t> PRINCIPAL</a:t>
          </a:r>
          <a:endParaRPr lang="es-ES" sz="1400" b="1"/>
        </a:p>
      </xdr:txBody>
    </xdr:sp>
    <xdr:clientData/>
  </xdr:twoCellAnchor>
  <xdr:twoCellAnchor>
    <xdr:from>
      <xdr:col>1</xdr:col>
      <xdr:colOff>533400</xdr:colOff>
      <xdr:row>11</xdr:row>
      <xdr:rowOff>152399</xdr:rowOff>
    </xdr:from>
    <xdr:to>
      <xdr:col>1</xdr:col>
      <xdr:colOff>1685925</xdr:colOff>
      <xdr:row>13</xdr:row>
      <xdr:rowOff>85724</xdr:rowOff>
    </xdr:to>
    <xdr:sp macro="[0]!Guardar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1971675" y="2247899"/>
          <a:ext cx="1152525" cy="3143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GUARDAR</a:t>
          </a:r>
        </a:p>
      </xdr:txBody>
    </xdr:sp>
    <xdr:clientData/>
  </xdr:twoCellAnchor>
  <xdr:twoCellAnchor>
    <xdr:from>
      <xdr:col>3</xdr:col>
      <xdr:colOff>247651</xdr:colOff>
      <xdr:row>11</xdr:row>
      <xdr:rowOff>152400</xdr:rowOff>
    </xdr:from>
    <xdr:to>
      <xdr:col>4</xdr:col>
      <xdr:colOff>104775</xdr:colOff>
      <xdr:row>13</xdr:row>
      <xdr:rowOff>114299</xdr:rowOff>
    </xdr:to>
    <xdr:sp macro="[0]!BuscarTelefono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5076826" y="2247900"/>
          <a:ext cx="990599" cy="342899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BUSCAR</a:t>
          </a:r>
        </a:p>
      </xdr:txBody>
    </xdr:sp>
    <xdr:clientData/>
  </xdr:twoCellAnchor>
  <xdr:twoCellAnchor>
    <xdr:from>
      <xdr:col>2</xdr:col>
      <xdr:colOff>28576</xdr:colOff>
      <xdr:row>11</xdr:row>
      <xdr:rowOff>152399</xdr:rowOff>
    </xdr:from>
    <xdr:to>
      <xdr:col>3</xdr:col>
      <xdr:colOff>152401</xdr:colOff>
      <xdr:row>13</xdr:row>
      <xdr:rowOff>104774</xdr:rowOff>
    </xdr:to>
    <xdr:sp macro="[0]!LimpiarBusquedaTelefono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3209926" y="2247899"/>
          <a:ext cx="1771650" cy="3333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LIMPIAR BÚSQUEDA</a:t>
          </a:r>
        </a:p>
      </xdr:txBody>
    </xdr:sp>
    <xdr:clientData/>
  </xdr:twoCellAnchor>
  <xdr:twoCellAnchor>
    <xdr:from>
      <xdr:col>0</xdr:col>
      <xdr:colOff>85725</xdr:colOff>
      <xdr:row>16</xdr:row>
      <xdr:rowOff>76199</xdr:rowOff>
    </xdr:from>
    <xdr:to>
      <xdr:col>1</xdr:col>
      <xdr:colOff>533400</xdr:colOff>
      <xdr:row>18</xdr:row>
      <xdr:rowOff>47624</xdr:rowOff>
    </xdr:to>
    <xdr:sp macro="[0]!AumentarLineaTelefono" textlink="">
      <xdr:nvSpPr>
        <xdr:cNvPr id="8" name="22 Rectángulo redondeado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85725" y="3314699"/>
          <a:ext cx="18859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AUMENTAR</a:t>
          </a:r>
          <a:r>
            <a:rPr lang="es-ES" sz="1600" b="1" baseline="0"/>
            <a:t> LÍNEAS</a:t>
          </a:r>
          <a:endParaRPr lang="es-ES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1638300</xdr:colOff>
          <xdr:row>45</xdr:row>
          <xdr:rowOff>200025</xdr:rowOff>
        </xdr:from>
        <xdr:to>
          <xdr:col>4</xdr:col>
          <xdr:colOff>2047875</xdr:colOff>
          <xdr:row>46</xdr:row>
          <xdr:rowOff>209550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48</xdr:row>
          <xdr:rowOff>171450</xdr:rowOff>
        </xdr:from>
        <xdr:to>
          <xdr:col>5</xdr:col>
          <xdr:colOff>257175</xdr:colOff>
          <xdr:row>48</xdr:row>
          <xdr:rowOff>361950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47</xdr:row>
          <xdr:rowOff>238125</xdr:rowOff>
        </xdr:from>
        <xdr:to>
          <xdr:col>4</xdr:col>
          <xdr:colOff>1971675</xdr:colOff>
          <xdr:row>47</xdr:row>
          <xdr:rowOff>457200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53</xdr:row>
          <xdr:rowOff>590550</xdr:rowOff>
        </xdr:from>
        <xdr:to>
          <xdr:col>4</xdr:col>
          <xdr:colOff>1971675</xdr:colOff>
          <xdr:row>53</xdr:row>
          <xdr:rowOff>809625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1676400</xdr:colOff>
          <xdr:row>49</xdr:row>
          <xdr:rowOff>95250</xdr:rowOff>
        </xdr:from>
        <xdr:to>
          <xdr:col>4</xdr:col>
          <xdr:colOff>1981200</xdr:colOff>
          <xdr:row>49</xdr:row>
          <xdr:rowOff>314325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1685925</xdr:colOff>
          <xdr:row>50</xdr:row>
          <xdr:rowOff>104775</xdr:rowOff>
        </xdr:from>
        <xdr:to>
          <xdr:col>4</xdr:col>
          <xdr:colOff>1990725</xdr:colOff>
          <xdr:row>50</xdr:row>
          <xdr:rowOff>323850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50</xdr:row>
          <xdr:rowOff>457200</xdr:rowOff>
        </xdr:from>
        <xdr:to>
          <xdr:col>4</xdr:col>
          <xdr:colOff>2000250</xdr:colOff>
          <xdr:row>51</xdr:row>
          <xdr:rowOff>200025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1657350</xdr:colOff>
          <xdr:row>54</xdr:row>
          <xdr:rowOff>114300</xdr:rowOff>
        </xdr:from>
        <xdr:to>
          <xdr:col>4</xdr:col>
          <xdr:colOff>2028825</xdr:colOff>
          <xdr:row>54</xdr:row>
          <xdr:rowOff>333375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52</xdr:row>
          <xdr:rowOff>152400</xdr:rowOff>
        </xdr:from>
        <xdr:to>
          <xdr:col>4</xdr:col>
          <xdr:colOff>2028825</xdr:colOff>
          <xdr:row>52</xdr:row>
          <xdr:rowOff>342900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85725</xdr:rowOff>
    </xdr:from>
    <xdr:to>
      <xdr:col>5</xdr:col>
      <xdr:colOff>0</xdr:colOff>
      <xdr:row>10</xdr:row>
      <xdr:rowOff>180974</xdr:rowOff>
    </xdr:to>
    <xdr:pic>
      <xdr:nvPicPr>
        <xdr:cNvPr id="18" name="1 Imagen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5725"/>
          <a:ext cx="8724900" cy="200024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609600</xdr:colOff>
      <xdr:row>0</xdr:row>
      <xdr:rowOff>171450</xdr:rowOff>
    </xdr:from>
    <xdr:to>
      <xdr:col>14</xdr:col>
      <xdr:colOff>381000</xdr:colOff>
      <xdr:row>3</xdr:row>
      <xdr:rowOff>161925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8991600" y="171450"/>
          <a:ext cx="2057400" cy="5905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</a:t>
          </a:r>
          <a:r>
            <a:rPr lang="es-ES" sz="1600" b="1" baseline="0"/>
            <a:t> PRINCIPAL</a:t>
          </a:r>
          <a:endParaRPr lang="es-ES" sz="1600" b="1"/>
        </a:p>
      </xdr:txBody>
    </xdr:sp>
    <xdr:clientData/>
  </xdr:twoCellAnchor>
  <xdr:oneCellAnchor>
    <xdr:from>
      <xdr:col>12</xdr:col>
      <xdr:colOff>38100</xdr:colOff>
      <xdr:row>10</xdr:row>
      <xdr:rowOff>66675</xdr:rowOff>
    </xdr:from>
    <xdr:ext cx="7258049" cy="1552575"/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2100" y="2066925"/>
          <a:ext cx="7258049" cy="155257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163710</xdr:colOff>
      <xdr:row>0</xdr:row>
      <xdr:rowOff>0</xdr:rowOff>
    </xdr:from>
    <xdr:to>
      <xdr:col>11</xdr:col>
      <xdr:colOff>943570</xdr:colOff>
      <xdr:row>14</xdr:row>
      <xdr:rowOff>76200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0635" y="0"/>
          <a:ext cx="6332935" cy="2800350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7</xdr:row>
      <xdr:rowOff>28575</xdr:rowOff>
    </xdr:from>
    <xdr:to>
      <xdr:col>1</xdr:col>
      <xdr:colOff>438150</xdr:colOff>
      <xdr:row>8</xdr:row>
      <xdr:rowOff>95251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7625" y="1381125"/>
          <a:ext cx="2543175" cy="266701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PÁGINA</a:t>
          </a:r>
          <a:r>
            <a:rPr lang="es-ES" sz="1600" b="1" baseline="0"/>
            <a:t> PRINCIPAL</a:t>
          </a:r>
          <a:endParaRPr lang="es-ES" sz="1600" b="1"/>
        </a:p>
      </xdr:txBody>
    </xdr:sp>
    <xdr:clientData/>
  </xdr:twoCellAnchor>
  <xdr:twoCellAnchor>
    <xdr:from>
      <xdr:col>1</xdr:col>
      <xdr:colOff>561974</xdr:colOff>
      <xdr:row>7</xdr:row>
      <xdr:rowOff>38100</xdr:rowOff>
    </xdr:from>
    <xdr:to>
      <xdr:col>3</xdr:col>
      <xdr:colOff>152399</xdr:colOff>
      <xdr:row>8</xdr:row>
      <xdr:rowOff>95249</xdr:rowOff>
    </xdr:to>
    <xdr:sp macro="[0]!BuscarBDBung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2714624" y="1390650"/>
          <a:ext cx="2409825" cy="257174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BUSCAR</a:t>
          </a:r>
          <a:r>
            <a:rPr lang="es-ES" sz="1600" b="1" baseline="0"/>
            <a:t> EN BD BUNGE</a:t>
          </a:r>
          <a:endParaRPr lang="es-ES" sz="1600" b="1"/>
        </a:p>
      </xdr:txBody>
    </xdr:sp>
    <xdr:clientData/>
  </xdr:twoCellAnchor>
  <xdr:twoCellAnchor>
    <xdr:from>
      <xdr:col>3</xdr:col>
      <xdr:colOff>266700</xdr:colOff>
      <xdr:row>7</xdr:row>
      <xdr:rowOff>38100</xdr:rowOff>
    </xdr:from>
    <xdr:to>
      <xdr:col>4</xdr:col>
      <xdr:colOff>1285875</xdr:colOff>
      <xdr:row>8</xdr:row>
      <xdr:rowOff>95250</xdr:rowOff>
    </xdr:to>
    <xdr:sp macro="[0]!LimpiarBusquedaBD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5238750" y="1390650"/>
          <a:ext cx="2219325" cy="2571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 baseline="0"/>
            <a:t>ELIMINAR BÚSQUEDA</a:t>
          </a:r>
          <a:endParaRPr lang="es-ES" sz="1600" b="1"/>
        </a:p>
      </xdr:txBody>
    </xdr:sp>
    <xdr:clientData/>
  </xdr:twoCellAnchor>
  <xdr:twoCellAnchor>
    <xdr:from>
      <xdr:col>4</xdr:col>
      <xdr:colOff>1419225</xdr:colOff>
      <xdr:row>7</xdr:row>
      <xdr:rowOff>28575</xdr:rowOff>
    </xdr:from>
    <xdr:to>
      <xdr:col>5</xdr:col>
      <xdr:colOff>895350</xdr:colOff>
      <xdr:row>8</xdr:row>
      <xdr:rowOff>95250</xdr:rowOff>
    </xdr:to>
    <xdr:sp macro="[0]!Guardar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7591425" y="1381125"/>
          <a:ext cx="1381125" cy="2667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GUARDAR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6:P191"/>
  <sheetViews>
    <sheetView showGridLines="0" showRowColHeaders="0" tabSelected="1" workbookViewId="0"/>
  </sheetViews>
  <sheetFormatPr baseColWidth="10" defaultRowHeight="15" x14ac:dyDescent="0.25"/>
  <cols>
    <col min="1" max="3" width="11.42578125" style="25"/>
    <col min="4" max="4" width="28.5703125" style="25" customWidth="1"/>
    <col min="5" max="5" width="22.28515625" style="25" customWidth="1"/>
    <col min="6" max="6" width="21.5703125" style="25" customWidth="1"/>
    <col min="7" max="7" width="29.5703125" style="25" customWidth="1"/>
    <col min="8" max="8" width="31.42578125" style="25" customWidth="1"/>
    <col min="9" max="9" width="23.7109375" style="25" customWidth="1"/>
    <col min="10" max="16384" width="11.42578125" style="25"/>
  </cols>
  <sheetData>
    <row r="6" spans="4:16" x14ac:dyDescent="0.25">
      <c r="K6" s="227"/>
      <c r="L6" s="227"/>
      <c r="M6" s="227"/>
      <c r="N6" s="227"/>
      <c r="O6" s="227"/>
      <c r="P6" s="227"/>
    </row>
    <row r="7" spans="4:16" x14ac:dyDescent="0.25">
      <c r="K7" s="227"/>
      <c r="L7" s="227"/>
      <c r="M7" s="227"/>
      <c r="N7" s="227"/>
      <c r="O7" s="227"/>
      <c r="P7" s="227"/>
    </row>
    <row r="8" spans="4:16" x14ac:dyDescent="0.25">
      <c r="K8" s="227"/>
      <c r="L8" s="227"/>
      <c r="M8" s="227"/>
      <c r="N8" s="227"/>
      <c r="O8" s="227"/>
      <c r="P8" s="227"/>
    </row>
    <row r="9" spans="4:16" ht="15.75" x14ac:dyDescent="0.25">
      <c r="K9" s="7"/>
      <c r="L9" s="7"/>
      <c r="M9" s="7"/>
      <c r="N9" s="8"/>
      <c r="O9" s="7"/>
      <c r="P9" s="7"/>
    </row>
    <row r="10" spans="4:16" ht="15.75" x14ac:dyDescent="0.25">
      <c r="K10" s="7"/>
      <c r="L10" s="7"/>
      <c r="M10" s="9"/>
      <c r="N10" s="10"/>
      <c r="O10" s="11"/>
      <c r="P10" s="11"/>
    </row>
    <row r="14" spans="4:16" ht="15.75" x14ac:dyDescent="0.25">
      <c r="D14" s="3" t="s">
        <v>0</v>
      </c>
      <c r="E14" s="3"/>
      <c r="F14" s="3"/>
      <c r="G14" s="4" t="s">
        <v>2</v>
      </c>
      <c r="H14" s="3" t="s">
        <v>3</v>
      </c>
      <c r="I14" s="3" t="s">
        <v>4</v>
      </c>
    </row>
    <row r="15" spans="4:16" ht="15.75" x14ac:dyDescent="0.25">
      <c r="D15" s="38"/>
      <c r="E15" s="2"/>
      <c r="F15" s="1"/>
      <c r="G15" s="42"/>
      <c r="H15" s="41"/>
      <c r="I15" s="41"/>
    </row>
    <row r="17" spans="3:13" ht="21" x14ac:dyDescent="0.25">
      <c r="D17" s="220"/>
      <c r="F17" s="228" t="s">
        <v>711</v>
      </c>
      <c r="G17" s="228"/>
      <c r="H17" s="44">
        <f>HORARIOS!E17</f>
        <v>0</v>
      </c>
    </row>
    <row r="18" spans="3:13" ht="15.75" x14ac:dyDescent="0.25">
      <c r="K18" s="28"/>
      <c r="L18" s="29"/>
      <c r="M18" s="45"/>
    </row>
    <row r="19" spans="3:13" ht="15.75" x14ac:dyDescent="0.25">
      <c r="D19" s="3" t="s">
        <v>0</v>
      </c>
      <c r="E19" s="3"/>
      <c r="F19" s="3"/>
      <c r="G19" s="4" t="s">
        <v>2</v>
      </c>
      <c r="H19" s="3" t="s">
        <v>3</v>
      </c>
      <c r="I19" s="3" t="s">
        <v>4</v>
      </c>
      <c r="K19" s="18"/>
      <c r="L19" s="19"/>
      <c r="M19" s="18"/>
    </row>
    <row r="20" spans="3:13" ht="15.75" x14ac:dyDescent="0.25">
      <c r="D20" s="38"/>
      <c r="E20" s="2"/>
      <c r="F20" s="1"/>
      <c r="G20" s="42"/>
      <c r="H20" s="41"/>
      <c r="I20" s="41"/>
      <c r="K20" s="20"/>
      <c r="L20" s="21"/>
      <c r="M20" s="22"/>
    </row>
    <row r="22" spans="3:13" ht="15.75" x14ac:dyDescent="0.25">
      <c r="D22" s="3" t="s">
        <v>0</v>
      </c>
      <c r="E22" s="3"/>
      <c r="F22" s="3"/>
      <c r="G22" s="4" t="s">
        <v>2</v>
      </c>
      <c r="H22" s="3" t="s">
        <v>3</v>
      </c>
      <c r="I22" s="3" t="s">
        <v>4</v>
      </c>
      <c r="K22" s="28"/>
      <c r="L22" s="29"/>
      <c r="M22" s="45"/>
    </row>
    <row r="23" spans="3:13" ht="15.75" x14ac:dyDescent="0.25">
      <c r="D23" s="38"/>
      <c r="E23" s="2"/>
      <c r="F23" s="1"/>
      <c r="G23" s="42"/>
      <c r="H23" s="43"/>
      <c r="I23" s="43"/>
      <c r="K23" s="28"/>
      <c r="L23" s="46"/>
      <c r="M23" s="45"/>
    </row>
    <row r="24" spans="3:13" ht="15.75" x14ac:dyDescent="0.25">
      <c r="D24" s="18"/>
      <c r="E24" s="18"/>
      <c r="F24" s="28"/>
      <c r="G24" s="29"/>
      <c r="H24" s="45"/>
      <c r="I24" s="45"/>
      <c r="K24" s="28"/>
      <c r="L24" s="46"/>
      <c r="M24" s="45"/>
    </row>
    <row r="25" spans="3:13" ht="17.25" customHeight="1" x14ac:dyDescent="0.25">
      <c r="D25" s="7"/>
      <c r="E25" s="7"/>
      <c r="F25" s="7"/>
      <c r="G25" s="7"/>
      <c r="H25" s="7"/>
      <c r="I25" s="45"/>
      <c r="K25" s="28"/>
      <c r="L25" s="46"/>
      <c r="M25" s="45"/>
    </row>
    <row r="26" spans="3:13" ht="15.75" x14ac:dyDescent="0.25">
      <c r="D26" s="18"/>
      <c r="E26" s="18"/>
      <c r="F26" s="18"/>
      <c r="G26" s="18"/>
      <c r="H26" s="69"/>
      <c r="I26" s="18"/>
      <c r="K26" s="28"/>
      <c r="L26" s="46"/>
      <c r="M26" s="45"/>
    </row>
    <row r="27" spans="3:13" ht="21" x14ac:dyDescent="0.25">
      <c r="D27" s="47"/>
      <c r="E27" s="48"/>
      <c r="I27" s="22"/>
      <c r="K27" s="28"/>
      <c r="L27" s="46"/>
      <c r="M27" s="45"/>
    </row>
    <row r="28" spans="3:13" ht="15.75" x14ac:dyDescent="0.25">
      <c r="K28" s="28"/>
      <c r="L28" s="46"/>
      <c r="M28" s="45"/>
    </row>
    <row r="29" spans="3:13" ht="15.75" x14ac:dyDescent="0.25">
      <c r="C29" s="25" t="s">
        <v>905</v>
      </c>
      <c r="D29" s="27"/>
      <c r="E29" s="27"/>
      <c r="I29" s="45"/>
    </row>
    <row r="30" spans="3:13" ht="15.75" x14ac:dyDescent="0.25">
      <c r="D30" s="18"/>
      <c r="E30" s="18"/>
      <c r="I30" s="27"/>
    </row>
    <row r="31" spans="3:13" ht="15.75" x14ac:dyDescent="0.25">
      <c r="D31" s="18"/>
      <c r="E31" s="18"/>
      <c r="I31" s="27"/>
    </row>
    <row r="32" spans="3:13" ht="15.75" x14ac:dyDescent="0.25">
      <c r="D32" s="18"/>
      <c r="E32" s="18"/>
      <c r="I32" s="27"/>
    </row>
    <row r="33" spans="4:9" ht="15.75" x14ac:dyDescent="0.25">
      <c r="D33" s="18"/>
      <c r="E33" s="18"/>
      <c r="I33" s="27"/>
    </row>
    <row r="34" spans="4:9" ht="15.75" x14ac:dyDescent="0.25">
      <c r="D34" s="18"/>
      <c r="E34" s="18"/>
      <c r="I34" s="27"/>
    </row>
    <row r="35" spans="4:9" ht="15.75" x14ac:dyDescent="0.25">
      <c r="D35" s="18"/>
      <c r="E35" s="18"/>
      <c r="I35" s="27"/>
    </row>
    <row r="36" spans="4:9" ht="15.75" x14ac:dyDescent="0.25">
      <c r="D36" s="18"/>
      <c r="E36" s="18"/>
      <c r="F36" s="28"/>
      <c r="G36" s="46"/>
      <c r="H36" s="45"/>
      <c r="I36" s="27"/>
    </row>
    <row r="37" spans="4:9" ht="15.75" x14ac:dyDescent="0.25">
      <c r="D37" s="18"/>
      <c r="E37" s="18"/>
      <c r="F37" s="28"/>
      <c r="G37" s="46"/>
      <c r="H37" s="45"/>
      <c r="I37" s="27"/>
    </row>
    <row r="38" spans="4:9" ht="15.75" x14ac:dyDescent="0.25">
      <c r="D38" s="18"/>
      <c r="E38" s="18"/>
      <c r="F38" s="28"/>
      <c r="G38" s="46"/>
      <c r="H38" s="45"/>
      <c r="I38" s="27"/>
    </row>
    <row r="39" spans="4:9" ht="15.75" x14ac:dyDescent="0.25">
      <c r="D39" s="18"/>
      <c r="E39" s="18"/>
      <c r="F39" s="28"/>
      <c r="G39" s="46"/>
      <c r="H39" s="45"/>
      <c r="I39" s="27"/>
    </row>
    <row r="40" spans="4:9" ht="15.75" x14ac:dyDescent="0.25">
      <c r="D40" s="18"/>
      <c r="E40" s="18"/>
      <c r="F40" s="28"/>
      <c r="G40" s="46"/>
      <c r="H40" s="45"/>
      <c r="I40" s="27"/>
    </row>
    <row r="41" spans="4:9" ht="15.75" x14ac:dyDescent="0.25">
      <c r="D41" s="27"/>
      <c r="E41" s="27"/>
      <c r="F41" s="28"/>
      <c r="G41" s="29"/>
      <c r="H41" s="30"/>
      <c r="I41" s="30"/>
    </row>
    <row r="42" spans="4:9" ht="15.75" x14ac:dyDescent="0.25">
      <c r="D42" s="27"/>
      <c r="E42" s="27"/>
      <c r="F42" s="28"/>
      <c r="G42" s="29"/>
      <c r="H42" s="30"/>
      <c r="I42" s="30"/>
    </row>
    <row r="43" spans="4:9" ht="15.75" x14ac:dyDescent="0.25">
      <c r="D43" s="27"/>
      <c r="E43" s="27"/>
      <c r="F43" s="28"/>
      <c r="G43" s="29"/>
      <c r="H43" s="30"/>
      <c r="I43" s="30"/>
    </row>
    <row r="44" spans="4:9" ht="15.75" x14ac:dyDescent="0.25">
      <c r="D44" s="27"/>
      <c r="E44" s="27"/>
      <c r="F44" s="28"/>
      <c r="G44" s="29"/>
      <c r="H44" s="45"/>
      <c r="I44" s="45"/>
    </row>
    <row r="45" spans="4:9" ht="15.75" x14ac:dyDescent="0.25">
      <c r="D45" s="27"/>
      <c r="E45" s="27"/>
      <c r="F45" s="28"/>
      <c r="G45" s="29"/>
      <c r="H45" s="30"/>
      <c r="I45" s="30"/>
    </row>
    <row r="46" spans="4:9" ht="15.75" x14ac:dyDescent="0.25">
      <c r="D46" s="27"/>
      <c r="E46" s="27"/>
      <c r="F46" s="28"/>
      <c r="G46" s="29"/>
      <c r="H46" s="30"/>
      <c r="I46" s="30"/>
    </row>
    <row r="47" spans="4:9" ht="15.75" x14ac:dyDescent="0.25">
      <c r="D47" s="27"/>
      <c r="E47" s="27"/>
      <c r="F47" s="28"/>
      <c r="G47" s="29"/>
      <c r="H47" s="30"/>
      <c r="I47" s="30"/>
    </row>
    <row r="48" spans="4:9" ht="15.75" x14ac:dyDescent="0.25">
      <c r="D48" s="27"/>
      <c r="E48" s="27"/>
      <c r="F48" s="28"/>
      <c r="G48" s="29"/>
      <c r="H48" s="30"/>
      <c r="I48" s="30"/>
    </row>
    <row r="49" spans="4:9" ht="15.75" x14ac:dyDescent="0.25">
      <c r="D49" s="27"/>
      <c r="E49" s="27"/>
      <c r="F49" s="28"/>
      <c r="G49" s="29"/>
      <c r="H49" s="30"/>
      <c r="I49" s="30"/>
    </row>
    <row r="50" spans="4:9" ht="15.75" x14ac:dyDescent="0.25">
      <c r="D50" s="27"/>
      <c r="E50" s="27"/>
      <c r="F50" s="28"/>
      <c r="G50" s="29"/>
      <c r="H50" s="45"/>
      <c r="I50" s="45"/>
    </row>
    <row r="51" spans="4:9" ht="15.75" x14ac:dyDescent="0.25">
      <c r="D51" s="27"/>
      <c r="E51" s="27"/>
      <c r="F51" s="28"/>
      <c r="G51" s="29"/>
      <c r="H51" s="45"/>
      <c r="I51" s="45"/>
    </row>
    <row r="52" spans="4:9" ht="15.75" x14ac:dyDescent="0.25">
      <c r="D52" s="27"/>
      <c r="E52" s="27"/>
      <c r="F52" s="28"/>
      <c r="G52" s="29"/>
      <c r="H52" s="45"/>
      <c r="I52" s="45"/>
    </row>
    <row r="53" spans="4:9" ht="15.75" x14ac:dyDescent="0.25">
      <c r="D53" s="27"/>
      <c r="E53" s="27"/>
      <c r="F53" s="28"/>
      <c r="G53" s="29"/>
      <c r="H53" s="45"/>
      <c r="I53" s="45"/>
    </row>
    <row r="54" spans="4:9" ht="15.75" x14ac:dyDescent="0.25">
      <c r="D54" s="27"/>
      <c r="E54" s="27"/>
      <c r="F54" s="28"/>
      <c r="G54" s="29"/>
      <c r="H54" s="45"/>
      <c r="I54" s="45"/>
    </row>
    <row r="55" spans="4:9" ht="15.75" x14ac:dyDescent="0.25">
      <c r="D55" s="27"/>
      <c r="E55" s="27"/>
      <c r="F55" s="28"/>
      <c r="G55" s="29"/>
      <c r="H55" s="45"/>
      <c r="I55" s="45"/>
    </row>
    <row r="56" spans="4:9" ht="15.75" x14ac:dyDescent="0.25">
      <c r="D56" s="27"/>
      <c r="E56" s="27"/>
      <c r="F56" s="28"/>
      <c r="G56" s="29"/>
      <c r="H56" s="45"/>
      <c r="I56" s="45"/>
    </row>
    <row r="57" spans="4:9" ht="15.75" x14ac:dyDescent="0.25">
      <c r="D57" s="27"/>
      <c r="E57" s="27"/>
      <c r="F57" s="28"/>
      <c r="G57" s="29"/>
      <c r="H57" s="45"/>
      <c r="I57" s="45"/>
    </row>
    <row r="58" spans="4:9" ht="15.75" x14ac:dyDescent="0.25">
      <c r="D58" s="27"/>
      <c r="E58" s="27"/>
      <c r="F58" s="28"/>
      <c r="G58" s="29"/>
      <c r="H58" s="45"/>
      <c r="I58" s="45"/>
    </row>
    <row r="59" spans="4:9" ht="15.75" x14ac:dyDescent="0.25">
      <c r="D59" s="27"/>
      <c r="E59" s="27"/>
      <c r="F59" s="28"/>
      <c r="G59" s="29"/>
      <c r="H59" s="45"/>
      <c r="I59" s="45"/>
    </row>
    <row r="60" spans="4:9" ht="15.75" x14ac:dyDescent="0.25">
      <c r="D60" s="27"/>
      <c r="E60" s="27"/>
      <c r="F60" s="28"/>
      <c r="G60" s="29"/>
      <c r="H60" s="45"/>
      <c r="I60" s="45"/>
    </row>
    <row r="61" spans="4:9" ht="15.75" x14ac:dyDescent="0.25">
      <c r="D61" s="27"/>
      <c r="E61" s="27"/>
      <c r="F61" s="28"/>
      <c r="G61" s="29"/>
      <c r="H61" s="45"/>
      <c r="I61" s="45"/>
    </row>
    <row r="62" spans="4:9" ht="15.75" x14ac:dyDescent="0.25">
      <c r="D62" s="27"/>
      <c r="E62" s="27"/>
      <c r="F62" s="28"/>
      <c r="G62" s="29"/>
      <c r="H62" s="45"/>
      <c r="I62" s="45"/>
    </row>
    <row r="63" spans="4:9" ht="15.75" x14ac:dyDescent="0.25">
      <c r="D63" s="27"/>
      <c r="E63" s="27"/>
      <c r="F63" s="28"/>
      <c r="G63" s="29"/>
      <c r="H63" s="45"/>
      <c r="I63" s="45"/>
    </row>
    <row r="64" spans="4:9" ht="15.75" x14ac:dyDescent="0.25">
      <c r="D64" s="27"/>
      <c r="E64" s="27"/>
      <c r="F64" s="28"/>
      <c r="G64" s="29"/>
      <c r="H64" s="45"/>
      <c r="I64" s="45"/>
    </row>
    <row r="65" spans="4:9" ht="15.75" x14ac:dyDescent="0.25">
      <c r="D65" s="27"/>
      <c r="E65" s="27"/>
      <c r="F65" s="28"/>
      <c r="G65" s="29"/>
      <c r="H65" s="45"/>
      <c r="I65" s="45"/>
    </row>
    <row r="66" spans="4:9" ht="15.75" x14ac:dyDescent="0.25">
      <c r="D66" s="27"/>
      <c r="E66" s="27"/>
      <c r="F66" s="28"/>
      <c r="G66" s="29"/>
      <c r="H66" s="45"/>
      <c r="I66" s="45"/>
    </row>
    <row r="67" spans="4:9" ht="15.75" x14ac:dyDescent="0.25">
      <c r="D67" s="27"/>
      <c r="E67" s="27"/>
      <c r="F67" s="28"/>
      <c r="G67" s="46"/>
      <c r="H67" s="45"/>
      <c r="I67" s="45"/>
    </row>
    <row r="68" spans="4:9" ht="15.75" x14ac:dyDescent="0.25">
      <c r="D68" s="27"/>
      <c r="E68" s="27"/>
      <c r="F68" s="28"/>
      <c r="G68" s="46"/>
      <c r="H68" s="45"/>
      <c r="I68" s="45"/>
    </row>
    <row r="69" spans="4:9" ht="15.75" x14ac:dyDescent="0.25">
      <c r="D69" s="27"/>
      <c r="E69" s="27"/>
      <c r="F69" s="28"/>
      <c r="G69" s="46"/>
      <c r="H69" s="45"/>
      <c r="I69" s="45"/>
    </row>
    <row r="70" spans="4:9" ht="15.75" x14ac:dyDescent="0.25">
      <c r="D70" s="27"/>
      <c r="E70" s="27"/>
      <c r="F70" s="28"/>
      <c r="G70" s="49"/>
      <c r="H70" s="45"/>
      <c r="I70" s="45"/>
    </row>
    <row r="71" spans="4:9" ht="15.75" x14ac:dyDescent="0.25">
      <c r="D71" s="27"/>
      <c r="E71" s="27"/>
      <c r="F71" s="28"/>
      <c r="G71" s="46"/>
      <c r="H71" s="45"/>
      <c r="I71" s="45"/>
    </row>
    <row r="72" spans="4:9" ht="15.75" x14ac:dyDescent="0.25">
      <c r="D72" s="27"/>
      <c r="E72" s="27"/>
      <c r="F72" s="28"/>
      <c r="G72" s="46"/>
      <c r="H72" s="45"/>
      <c r="I72" s="45"/>
    </row>
    <row r="73" spans="4:9" ht="15.75" x14ac:dyDescent="0.25">
      <c r="D73" s="27"/>
      <c r="E73" s="27"/>
      <c r="F73" s="28"/>
      <c r="G73" s="46"/>
      <c r="H73" s="45"/>
      <c r="I73" s="45"/>
    </row>
    <row r="74" spans="4:9" ht="15.75" x14ac:dyDescent="0.25">
      <c r="D74" s="27"/>
      <c r="E74" s="27"/>
      <c r="F74" s="28"/>
      <c r="G74" s="29"/>
      <c r="H74" s="45"/>
      <c r="I74" s="45"/>
    </row>
    <row r="75" spans="4:9" ht="15.75" x14ac:dyDescent="0.25">
      <c r="D75" s="27"/>
      <c r="E75" s="27"/>
      <c r="F75" s="28"/>
      <c r="G75" s="29"/>
      <c r="H75" s="45"/>
      <c r="I75" s="45"/>
    </row>
    <row r="76" spans="4:9" ht="15.75" x14ac:dyDescent="0.25">
      <c r="D76" s="27"/>
      <c r="E76" s="27"/>
      <c r="F76" s="28"/>
      <c r="G76" s="29"/>
      <c r="H76" s="45"/>
      <c r="I76" s="45"/>
    </row>
    <row r="77" spans="4:9" ht="15.75" x14ac:dyDescent="0.25">
      <c r="D77" s="27"/>
      <c r="E77" s="27"/>
      <c r="F77" s="28"/>
      <c r="G77" s="29"/>
      <c r="H77" s="45"/>
      <c r="I77" s="45"/>
    </row>
    <row r="78" spans="4:9" ht="15.75" x14ac:dyDescent="0.25">
      <c r="D78" s="27"/>
      <c r="E78" s="27"/>
      <c r="F78" s="28"/>
      <c r="G78" s="29"/>
      <c r="H78" s="45"/>
      <c r="I78" s="45"/>
    </row>
    <row r="79" spans="4:9" ht="15.75" x14ac:dyDescent="0.25">
      <c r="D79" s="27"/>
      <c r="E79" s="27"/>
      <c r="F79" s="28"/>
      <c r="G79" s="29"/>
      <c r="H79" s="30"/>
      <c r="I79" s="30"/>
    </row>
    <row r="80" spans="4:9" ht="15.75" x14ac:dyDescent="0.25">
      <c r="D80" s="27"/>
      <c r="E80" s="27"/>
      <c r="F80" s="28"/>
      <c r="G80" s="29"/>
      <c r="H80" s="30"/>
      <c r="I80" s="30"/>
    </row>
    <row r="81" spans="4:9" ht="15.75" x14ac:dyDescent="0.25">
      <c r="D81" s="27"/>
      <c r="E81" s="27"/>
      <c r="F81" s="28"/>
      <c r="G81" s="29"/>
      <c r="H81" s="45"/>
      <c r="I81" s="45"/>
    </row>
    <row r="82" spans="4:9" ht="15.75" x14ac:dyDescent="0.25">
      <c r="D82" s="27"/>
      <c r="E82" s="27"/>
      <c r="F82" s="28"/>
      <c r="G82" s="29"/>
      <c r="H82" s="45"/>
      <c r="I82" s="45"/>
    </row>
    <row r="83" spans="4:9" ht="15.75" x14ac:dyDescent="0.25">
      <c r="D83" s="27"/>
      <c r="E83" s="27"/>
      <c r="F83" s="28"/>
      <c r="G83" s="29"/>
      <c r="H83" s="45"/>
      <c r="I83" s="45"/>
    </row>
    <row r="84" spans="4:9" ht="15.75" x14ac:dyDescent="0.25">
      <c r="D84" s="27"/>
      <c r="E84" s="27"/>
      <c r="F84" s="28"/>
      <c r="G84" s="29"/>
      <c r="H84" s="45"/>
      <c r="I84" s="45"/>
    </row>
    <row r="85" spans="4:9" ht="15.75" x14ac:dyDescent="0.25">
      <c r="D85" s="27"/>
      <c r="E85" s="27"/>
      <c r="F85" s="28"/>
      <c r="G85" s="29"/>
      <c r="H85" s="45"/>
      <c r="I85" s="45"/>
    </row>
    <row r="86" spans="4:9" ht="15.75" x14ac:dyDescent="0.25">
      <c r="D86" s="27"/>
      <c r="E86" s="27"/>
      <c r="F86" s="28"/>
      <c r="G86" s="29"/>
      <c r="H86" s="45"/>
      <c r="I86" s="45"/>
    </row>
    <row r="87" spans="4:9" ht="15.75" x14ac:dyDescent="0.25">
      <c r="D87" s="27"/>
      <c r="E87" s="27"/>
      <c r="F87" s="28"/>
      <c r="G87" s="29"/>
      <c r="H87" s="45"/>
      <c r="I87" s="45"/>
    </row>
    <row r="88" spans="4:9" ht="15.75" x14ac:dyDescent="0.25">
      <c r="D88" s="27"/>
      <c r="E88" s="27"/>
      <c r="F88" s="28"/>
      <c r="G88" s="29"/>
      <c r="H88" s="45"/>
      <c r="I88" s="45"/>
    </row>
    <row r="89" spans="4:9" ht="15.75" x14ac:dyDescent="0.25">
      <c r="D89" s="27"/>
      <c r="E89" s="27"/>
      <c r="F89" s="28"/>
      <c r="G89" s="29"/>
      <c r="H89" s="45"/>
      <c r="I89" s="45"/>
    </row>
    <row r="90" spans="4:9" ht="15.75" x14ac:dyDescent="0.25">
      <c r="D90" s="27"/>
      <c r="E90" s="27"/>
      <c r="F90" s="28"/>
      <c r="G90" s="29"/>
      <c r="H90" s="45"/>
      <c r="I90" s="45"/>
    </row>
    <row r="91" spans="4:9" ht="15.75" x14ac:dyDescent="0.25">
      <c r="D91" s="27"/>
      <c r="E91" s="27"/>
      <c r="F91" s="28"/>
      <c r="G91" s="29"/>
      <c r="H91" s="45"/>
      <c r="I91" s="45"/>
    </row>
    <row r="92" spans="4:9" ht="15.75" x14ac:dyDescent="0.25">
      <c r="D92" s="27"/>
      <c r="E92" s="27"/>
      <c r="F92" s="28"/>
      <c r="G92" s="29"/>
      <c r="H92" s="45"/>
      <c r="I92" s="45"/>
    </row>
    <row r="93" spans="4:9" ht="15.75" x14ac:dyDescent="0.25">
      <c r="D93" s="27"/>
      <c r="E93" s="27"/>
      <c r="F93" s="28"/>
      <c r="G93" s="29"/>
      <c r="H93" s="45"/>
      <c r="I93" s="45"/>
    </row>
    <row r="94" spans="4:9" ht="15.75" x14ac:dyDescent="0.25">
      <c r="D94" s="27"/>
      <c r="E94" s="27"/>
      <c r="F94" s="28"/>
      <c r="G94" s="29"/>
      <c r="H94" s="45"/>
      <c r="I94" s="45"/>
    </row>
    <row r="95" spans="4:9" ht="15.75" x14ac:dyDescent="0.25">
      <c r="D95" s="27"/>
      <c r="E95" s="27"/>
      <c r="F95" s="28"/>
      <c r="G95" s="29"/>
      <c r="H95" s="45"/>
      <c r="I95" s="45"/>
    </row>
    <row r="96" spans="4:9" ht="15.75" x14ac:dyDescent="0.25">
      <c r="D96" s="27"/>
      <c r="E96" s="27"/>
      <c r="F96" s="28"/>
      <c r="G96" s="29"/>
      <c r="H96" s="30"/>
      <c r="I96" s="30"/>
    </row>
    <row r="97" spans="4:9" ht="15.75" x14ac:dyDescent="0.25">
      <c r="D97" s="27"/>
      <c r="E97" s="27"/>
      <c r="F97" s="28"/>
      <c r="G97" s="46"/>
      <c r="H97" s="45"/>
      <c r="I97" s="45"/>
    </row>
    <row r="98" spans="4:9" ht="15.75" x14ac:dyDescent="0.25">
      <c r="D98" s="27"/>
      <c r="E98" s="27"/>
      <c r="F98" s="28"/>
      <c r="G98" s="46"/>
      <c r="H98" s="45"/>
      <c r="I98" s="45"/>
    </row>
    <row r="99" spans="4:9" ht="15.75" x14ac:dyDescent="0.25">
      <c r="D99" s="27"/>
      <c r="E99" s="27"/>
      <c r="F99" s="28"/>
      <c r="G99" s="46"/>
      <c r="H99" s="27"/>
      <c r="I99" s="27"/>
    </row>
    <row r="100" spans="4:9" ht="15.75" x14ac:dyDescent="0.25">
      <c r="D100" s="27"/>
      <c r="E100" s="27"/>
      <c r="F100" s="28"/>
      <c r="G100" s="46"/>
      <c r="H100" s="45"/>
      <c r="I100" s="45"/>
    </row>
    <row r="101" spans="4:9" ht="15.75" x14ac:dyDescent="0.25">
      <c r="D101" s="27"/>
      <c r="E101" s="27"/>
      <c r="F101" s="28"/>
      <c r="G101" s="46"/>
      <c r="H101" s="45"/>
      <c r="I101" s="45"/>
    </row>
    <row r="102" spans="4:9" ht="15.75" x14ac:dyDescent="0.25">
      <c r="D102" s="27"/>
      <c r="E102" s="27"/>
      <c r="F102" s="28"/>
      <c r="G102" s="46"/>
      <c r="H102" s="45"/>
      <c r="I102" s="45"/>
    </row>
    <row r="103" spans="4:9" ht="15.75" x14ac:dyDescent="0.25">
      <c r="D103" s="27"/>
      <c r="E103" s="27"/>
      <c r="F103" s="28"/>
      <c r="G103" s="46"/>
      <c r="H103" s="27"/>
      <c r="I103" s="27"/>
    </row>
    <row r="104" spans="4:9" ht="15.75" x14ac:dyDescent="0.25">
      <c r="D104" s="27"/>
      <c r="E104" s="27"/>
      <c r="F104" s="28"/>
      <c r="G104" s="46"/>
      <c r="H104" s="45"/>
      <c r="I104" s="45"/>
    </row>
    <row r="105" spans="4:9" ht="15.75" x14ac:dyDescent="0.25">
      <c r="D105" s="27"/>
      <c r="E105" s="27"/>
      <c r="F105" s="28"/>
      <c r="G105" s="46"/>
      <c r="H105" s="45"/>
      <c r="I105" s="45"/>
    </row>
    <row r="106" spans="4:9" ht="15.75" x14ac:dyDescent="0.25">
      <c r="D106" s="27"/>
      <c r="E106" s="27"/>
      <c r="F106" s="28"/>
      <c r="G106" s="46"/>
      <c r="H106" s="45"/>
      <c r="I106" s="45"/>
    </row>
    <row r="107" spans="4:9" ht="15.75" x14ac:dyDescent="0.25">
      <c r="D107" s="27"/>
      <c r="E107" s="27"/>
      <c r="F107" s="28"/>
      <c r="G107" s="46"/>
      <c r="H107" s="45"/>
      <c r="I107" s="45"/>
    </row>
    <row r="108" spans="4:9" ht="15.75" x14ac:dyDescent="0.25">
      <c r="D108" s="27"/>
      <c r="E108" s="27"/>
      <c r="F108" s="28"/>
      <c r="G108" s="46"/>
      <c r="H108" s="45"/>
      <c r="I108" s="45"/>
    </row>
    <row r="109" spans="4:9" ht="15.75" x14ac:dyDescent="0.25">
      <c r="D109" s="27"/>
      <c r="E109" s="27"/>
      <c r="F109" s="28"/>
      <c r="G109" s="46"/>
      <c r="H109" s="45"/>
      <c r="I109" s="45"/>
    </row>
    <row r="110" spans="4:9" ht="15.75" x14ac:dyDescent="0.25">
      <c r="D110" s="27"/>
      <c r="E110" s="27"/>
      <c r="F110" s="28"/>
      <c r="G110" s="46"/>
      <c r="H110" s="45"/>
      <c r="I110" s="45"/>
    </row>
    <row r="111" spans="4:9" ht="15.75" x14ac:dyDescent="0.25">
      <c r="D111" s="27"/>
      <c r="E111" s="27"/>
      <c r="F111" s="28"/>
      <c r="G111" s="46"/>
      <c r="H111" s="45"/>
      <c r="I111" s="45"/>
    </row>
    <row r="112" spans="4:9" ht="15.75" x14ac:dyDescent="0.25">
      <c r="D112" s="27"/>
      <c r="E112" s="27"/>
      <c r="F112" s="28"/>
      <c r="G112" s="46"/>
      <c r="H112" s="45"/>
      <c r="I112" s="45"/>
    </row>
    <row r="113" spans="4:9" ht="15.75" x14ac:dyDescent="0.25">
      <c r="D113" s="27"/>
      <c r="E113" s="27"/>
      <c r="F113" s="28"/>
      <c r="G113" s="46"/>
      <c r="H113" s="27"/>
      <c r="I113" s="27"/>
    </row>
    <row r="114" spans="4:9" ht="15.75" x14ac:dyDescent="0.25">
      <c r="D114" s="27"/>
      <c r="E114" s="27"/>
      <c r="F114" s="28"/>
      <c r="G114" s="46"/>
      <c r="H114" s="45"/>
      <c r="I114" s="45"/>
    </row>
    <row r="115" spans="4:9" ht="15.75" x14ac:dyDescent="0.25">
      <c r="D115" s="27"/>
      <c r="E115" s="27"/>
      <c r="F115" s="28"/>
      <c r="G115" s="46"/>
      <c r="H115" s="45"/>
      <c r="I115" s="45"/>
    </row>
    <row r="116" spans="4:9" ht="15.75" x14ac:dyDescent="0.25">
      <c r="D116" s="27"/>
      <c r="E116" s="27"/>
      <c r="F116" s="28"/>
      <c r="G116" s="46"/>
      <c r="H116" s="45"/>
      <c r="I116" s="45"/>
    </row>
    <row r="117" spans="4:9" ht="15.75" x14ac:dyDescent="0.25">
      <c r="D117" s="27"/>
      <c r="E117" s="27"/>
      <c r="F117" s="28"/>
      <c r="G117" s="46"/>
      <c r="H117" s="45"/>
      <c r="I117" s="45"/>
    </row>
    <row r="118" spans="4:9" ht="15.75" x14ac:dyDescent="0.25">
      <c r="D118" s="27"/>
      <c r="E118" s="27"/>
      <c r="F118" s="28"/>
      <c r="G118" s="46"/>
      <c r="H118" s="45"/>
      <c r="I118" s="45"/>
    </row>
    <row r="119" spans="4:9" ht="15.75" x14ac:dyDescent="0.25">
      <c r="D119" s="27"/>
      <c r="E119" s="27"/>
      <c r="F119" s="28"/>
      <c r="G119" s="46"/>
      <c r="H119" s="45"/>
      <c r="I119" s="45"/>
    </row>
    <row r="120" spans="4:9" ht="15.75" x14ac:dyDescent="0.25">
      <c r="D120" s="27"/>
      <c r="E120" s="27"/>
      <c r="F120" s="28"/>
      <c r="G120" s="46"/>
      <c r="H120" s="45"/>
      <c r="I120" s="45"/>
    </row>
    <row r="121" spans="4:9" ht="15.75" x14ac:dyDescent="0.25">
      <c r="D121" s="27"/>
      <c r="E121" s="27"/>
      <c r="F121" s="28"/>
      <c r="G121" s="46"/>
      <c r="H121" s="45"/>
      <c r="I121" s="45"/>
    </row>
    <row r="122" spans="4:9" ht="15.75" x14ac:dyDescent="0.25">
      <c r="D122" s="27"/>
      <c r="E122" s="27"/>
      <c r="F122" s="28"/>
      <c r="G122" s="46"/>
      <c r="H122" s="45"/>
      <c r="I122" s="45"/>
    </row>
    <row r="123" spans="4:9" ht="15.75" x14ac:dyDescent="0.25">
      <c r="D123" s="27"/>
      <c r="E123" s="27"/>
      <c r="F123" s="28"/>
      <c r="G123" s="46"/>
      <c r="H123" s="45"/>
      <c r="I123" s="45"/>
    </row>
    <row r="124" spans="4:9" ht="15.75" x14ac:dyDescent="0.25">
      <c r="D124" s="27"/>
      <c r="E124" s="27"/>
      <c r="F124" s="28"/>
      <c r="G124" s="46"/>
      <c r="H124" s="45"/>
      <c r="I124" s="45"/>
    </row>
    <row r="125" spans="4:9" ht="15.75" x14ac:dyDescent="0.25">
      <c r="D125" s="27"/>
      <c r="E125" s="27"/>
      <c r="F125" s="28"/>
      <c r="G125" s="46"/>
      <c r="H125" s="45"/>
      <c r="I125" s="45"/>
    </row>
    <row r="126" spans="4:9" ht="15.75" x14ac:dyDescent="0.25">
      <c r="D126" s="27"/>
      <c r="E126" s="27"/>
      <c r="F126" s="28"/>
      <c r="G126" s="46"/>
      <c r="H126" s="45"/>
      <c r="I126" s="45"/>
    </row>
    <row r="127" spans="4:9" ht="15.75" x14ac:dyDescent="0.25">
      <c r="D127" s="27"/>
      <c r="E127" s="27"/>
      <c r="F127" s="28"/>
      <c r="G127" s="46"/>
      <c r="H127" s="45"/>
      <c r="I127" s="45"/>
    </row>
    <row r="128" spans="4:9" ht="15.75" x14ac:dyDescent="0.25">
      <c r="D128" s="27"/>
      <c r="E128" s="27"/>
      <c r="F128" s="28"/>
      <c r="G128" s="46"/>
      <c r="H128" s="27"/>
      <c r="I128" s="27"/>
    </row>
    <row r="129" spans="4:9" ht="15.75" x14ac:dyDescent="0.25">
      <c r="D129" s="27"/>
      <c r="E129" s="27"/>
      <c r="F129" s="28"/>
      <c r="G129" s="46"/>
      <c r="H129" s="27"/>
      <c r="I129" s="27"/>
    </row>
    <row r="130" spans="4:9" ht="15.75" x14ac:dyDescent="0.25">
      <c r="D130" s="18"/>
      <c r="E130" s="18"/>
      <c r="F130" s="28"/>
      <c r="G130" s="46"/>
      <c r="H130" s="45"/>
      <c r="I130" s="45"/>
    </row>
    <row r="131" spans="4:9" ht="15.75" x14ac:dyDescent="0.25">
      <c r="D131" s="27"/>
      <c r="E131" s="27"/>
      <c r="F131" s="28"/>
      <c r="G131" s="46"/>
      <c r="H131" s="27"/>
      <c r="I131" s="27"/>
    </row>
    <row r="132" spans="4:9" ht="15.75" x14ac:dyDescent="0.25">
      <c r="D132" s="27"/>
      <c r="E132" s="27"/>
      <c r="F132" s="28"/>
      <c r="G132" s="46"/>
      <c r="H132" s="27"/>
      <c r="I132" s="27"/>
    </row>
    <row r="133" spans="4:9" ht="15.75" x14ac:dyDescent="0.25">
      <c r="D133" s="27"/>
      <c r="E133" s="27"/>
      <c r="F133" s="28"/>
      <c r="G133" s="46"/>
      <c r="H133" s="27"/>
      <c r="I133" s="27"/>
    </row>
    <row r="134" spans="4:9" ht="15.75" x14ac:dyDescent="0.25">
      <c r="D134" s="27"/>
      <c r="E134" s="27"/>
      <c r="F134" s="28"/>
      <c r="G134" s="46"/>
      <c r="H134" s="27"/>
      <c r="I134" s="27"/>
    </row>
    <row r="135" spans="4:9" ht="15.75" x14ac:dyDescent="0.25">
      <c r="D135" s="27"/>
      <c r="E135" s="27"/>
      <c r="F135" s="28"/>
      <c r="G135" s="46"/>
      <c r="H135" s="27"/>
      <c r="I135" s="27"/>
    </row>
    <row r="136" spans="4:9" ht="15.75" x14ac:dyDescent="0.25">
      <c r="D136" s="27"/>
      <c r="E136" s="27"/>
      <c r="F136" s="28"/>
      <c r="G136" s="46"/>
      <c r="H136" s="27"/>
      <c r="I136" s="27"/>
    </row>
    <row r="137" spans="4:9" ht="15.75" x14ac:dyDescent="0.25">
      <c r="D137" s="27"/>
      <c r="E137" s="27"/>
      <c r="F137" s="28"/>
      <c r="G137" s="46"/>
      <c r="H137" s="27"/>
      <c r="I137" s="27"/>
    </row>
    <row r="138" spans="4:9" ht="15.75" x14ac:dyDescent="0.25">
      <c r="D138" s="27"/>
      <c r="E138" s="27"/>
      <c r="F138" s="28"/>
      <c r="G138" s="46"/>
      <c r="H138" s="27"/>
      <c r="I138" s="27"/>
    </row>
    <row r="139" spans="4:9" ht="15.75" x14ac:dyDescent="0.25">
      <c r="D139" s="27"/>
      <c r="E139" s="27"/>
      <c r="F139" s="28"/>
      <c r="G139" s="46"/>
      <c r="H139" s="27"/>
      <c r="I139" s="27"/>
    </row>
    <row r="140" spans="4:9" ht="15.75" x14ac:dyDescent="0.25">
      <c r="D140" s="27"/>
      <c r="E140" s="27"/>
      <c r="F140" s="28"/>
      <c r="G140" s="46"/>
      <c r="H140" s="27"/>
      <c r="I140" s="27"/>
    </row>
    <row r="141" spans="4:9" ht="15.75" x14ac:dyDescent="0.25">
      <c r="D141" s="27"/>
      <c r="E141" s="27"/>
      <c r="F141" s="28"/>
      <c r="G141" s="46"/>
      <c r="H141" s="27"/>
      <c r="I141" s="27"/>
    </row>
    <row r="142" spans="4:9" ht="15.75" x14ac:dyDescent="0.25">
      <c r="D142" s="27"/>
      <c r="E142" s="27"/>
      <c r="F142" s="28"/>
      <c r="G142" s="46"/>
      <c r="H142" s="27"/>
      <c r="I142" s="27"/>
    </row>
    <row r="143" spans="4:9" ht="15.75" x14ac:dyDescent="0.25">
      <c r="D143" s="27"/>
      <c r="E143" s="27"/>
      <c r="F143" s="28"/>
      <c r="G143" s="46"/>
      <c r="H143" s="27"/>
      <c r="I143" s="27"/>
    </row>
    <row r="144" spans="4:9" ht="15.75" x14ac:dyDescent="0.25">
      <c r="D144" s="27"/>
      <c r="E144" s="27"/>
      <c r="F144" s="28"/>
      <c r="G144" s="46"/>
      <c r="H144" s="27"/>
      <c r="I144" s="27"/>
    </row>
    <row r="145" spans="4:9" ht="15.75" x14ac:dyDescent="0.25">
      <c r="D145" s="27"/>
      <c r="E145" s="27"/>
      <c r="F145" s="28"/>
      <c r="G145" s="46"/>
      <c r="H145" s="27"/>
      <c r="I145" s="27"/>
    </row>
    <row r="146" spans="4:9" ht="15.75" x14ac:dyDescent="0.25">
      <c r="D146" s="27"/>
      <c r="E146" s="27"/>
      <c r="F146" s="28"/>
      <c r="G146" s="46"/>
      <c r="H146" s="27"/>
      <c r="I146" s="27"/>
    </row>
    <row r="147" spans="4:9" ht="15.75" x14ac:dyDescent="0.25">
      <c r="D147" s="27"/>
      <c r="E147" s="27"/>
      <c r="F147" s="28"/>
      <c r="G147" s="46"/>
      <c r="H147" s="27"/>
      <c r="I147" s="27"/>
    </row>
    <row r="148" spans="4:9" ht="15.75" x14ac:dyDescent="0.25">
      <c r="D148" s="27"/>
      <c r="E148" s="27"/>
      <c r="F148" s="28"/>
      <c r="G148" s="46"/>
      <c r="H148" s="27"/>
      <c r="I148" s="27"/>
    </row>
    <row r="149" spans="4:9" ht="15.75" x14ac:dyDescent="0.25">
      <c r="D149" s="27"/>
      <c r="E149" s="27"/>
      <c r="F149" s="28"/>
      <c r="G149" s="46"/>
      <c r="H149" s="27"/>
      <c r="I149" s="27"/>
    </row>
    <row r="150" spans="4:9" ht="15.75" x14ac:dyDescent="0.25">
      <c r="D150" s="27"/>
      <c r="E150" s="27"/>
      <c r="F150" s="28"/>
      <c r="G150" s="46"/>
      <c r="H150" s="27"/>
      <c r="I150" s="27"/>
    </row>
    <row r="151" spans="4:9" ht="15.75" x14ac:dyDescent="0.25">
      <c r="D151" s="27"/>
      <c r="E151" s="27"/>
      <c r="F151" s="28"/>
      <c r="G151" s="46"/>
      <c r="H151" s="27"/>
      <c r="I151" s="27"/>
    </row>
    <row r="152" spans="4:9" ht="15.75" x14ac:dyDescent="0.25">
      <c r="D152" s="27"/>
      <c r="E152" s="27"/>
      <c r="F152" s="28"/>
      <c r="G152" s="46"/>
      <c r="H152" s="27"/>
      <c r="I152" s="27"/>
    </row>
    <row r="153" spans="4:9" ht="15.75" x14ac:dyDescent="0.25">
      <c r="D153" s="27"/>
      <c r="E153" s="27"/>
      <c r="F153" s="28"/>
      <c r="G153" s="46"/>
      <c r="H153" s="27"/>
      <c r="I153" s="27"/>
    </row>
    <row r="154" spans="4:9" ht="15.75" x14ac:dyDescent="0.25">
      <c r="D154" s="27"/>
      <c r="E154" s="27"/>
      <c r="F154" s="28"/>
      <c r="G154" s="46"/>
      <c r="H154" s="27"/>
      <c r="I154" s="27"/>
    </row>
    <row r="155" spans="4:9" ht="15.75" x14ac:dyDescent="0.25">
      <c r="D155" s="27"/>
      <c r="E155" s="27"/>
      <c r="F155" s="28"/>
      <c r="G155" s="46"/>
      <c r="H155" s="27"/>
      <c r="I155" s="27"/>
    </row>
    <row r="156" spans="4:9" ht="15.75" x14ac:dyDescent="0.25">
      <c r="D156" s="18"/>
      <c r="E156" s="18"/>
      <c r="F156" s="28"/>
      <c r="G156" s="46"/>
      <c r="H156" s="27"/>
      <c r="I156" s="27"/>
    </row>
    <row r="157" spans="4:9" ht="15.75" x14ac:dyDescent="0.25">
      <c r="D157" s="18"/>
      <c r="E157" s="18"/>
      <c r="F157" s="28"/>
      <c r="G157" s="46"/>
      <c r="H157" s="27"/>
      <c r="I157" s="27"/>
    </row>
    <row r="158" spans="4:9" ht="15.75" x14ac:dyDescent="0.25">
      <c r="D158" s="18"/>
      <c r="E158" s="18"/>
      <c r="F158" s="28"/>
      <c r="G158" s="46"/>
      <c r="H158" s="27"/>
      <c r="I158" s="27"/>
    </row>
    <row r="159" spans="4:9" ht="15.75" x14ac:dyDescent="0.25">
      <c r="D159" s="18"/>
      <c r="E159" s="18"/>
      <c r="F159" s="28"/>
      <c r="G159" s="46"/>
      <c r="H159" s="27"/>
      <c r="I159" s="27"/>
    </row>
    <row r="160" spans="4:9" ht="15.75" x14ac:dyDescent="0.25">
      <c r="D160" s="18"/>
      <c r="E160" s="18"/>
      <c r="F160" s="28"/>
      <c r="G160" s="46"/>
      <c r="H160" s="27"/>
      <c r="I160" s="27"/>
    </row>
    <row r="161" spans="4:9" ht="15.75" x14ac:dyDescent="0.25">
      <c r="D161" s="18"/>
      <c r="E161" s="18"/>
      <c r="F161" s="28"/>
      <c r="G161" s="46"/>
      <c r="H161" s="27"/>
      <c r="I161" s="27"/>
    </row>
    <row r="162" spans="4:9" ht="15.75" x14ac:dyDescent="0.25">
      <c r="D162" s="18"/>
      <c r="E162" s="18"/>
      <c r="F162" s="28"/>
      <c r="G162" s="46"/>
      <c r="H162" s="27"/>
      <c r="I162" s="27"/>
    </row>
    <row r="163" spans="4:9" ht="15.75" x14ac:dyDescent="0.25">
      <c r="D163" s="18"/>
      <c r="E163" s="18"/>
      <c r="F163" s="28"/>
      <c r="G163" s="46"/>
      <c r="H163" s="27"/>
      <c r="I163" s="27"/>
    </row>
    <row r="164" spans="4:9" ht="15.75" x14ac:dyDescent="0.25">
      <c r="D164" s="18"/>
      <c r="E164" s="18"/>
      <c r="F164" s="28"/>
      <c r="G164" s="46"/>
      <c r="H164" s="27"/>
      <c r="I164" s="27"/>
    </row>
    <row r="165" spans="4:9" ht="15.75" x14ac:dyDescent="0.25">
      <c r="D165" s="18"/>
      <c r="E165" s="18"/>
      <c r="F165" s="28"/>
      <c r="G165" s="46"/>
      <c r="H165" s="27"/>
      <c r="I165" s="27"/>
    </row>
    <row r="166" spans="4:9" ht="15.75" x14ac:dyDescent="0.25">
      <c r="D166" s="18"/>
      <c r="E166" s="18"/>
      <c r="F166" s="28"/>
      <c r="G166" s="46"/>
      <c r="H166" s="27"/>
      <c r="I166" s="27"/>
    </row>
    <row r="167" spans="4:9" ht="15.75" x14ac:dyDescent="0.25">
      <c r="D167" s="18"/>
      <c r="E167" s="18"/>
      <c r="F167" s="28"/>
      <c r="G167" s="46"/>
      <c r="H167" s="27"/>
      <c r="I167" s="27"/>
    </row>
    <row r="168" spans="4:9" ht="15.75" x14ac:dyDescent="0.25">
      <c r="D168" s="27"/>
      <c r="E168" s="27"/>
      <c r="F168" s="28"/>
      <c r="G168" s="46"/>
      <c r="H168" s="27"/>
      <c r="I168" s="27"/>
    </row>
    <row r="169" spans="4:9" ht="15.75" x14ac:dyDescent="0.25">
      <c r="D169" s="27"/>
      <c r="E169" s="27"/>
      <c r="F169" s="28"/>
      <c r="G169" s="46"/>
      <c r="H169" s="27"/>
      <c r="I169" s="27"/>
    </row>
    <row r="170" spans="4:9" ht="15.75" x14ac:dyDescent="0.25">
      <c r="D170" s="27"/>
      <c r="E170" s="27"/>
      <c r="F170" s="28"/>
      <c r="G170" s="46"/>
      <c r="H170" s="27"/>
      <c r="I170" s="27"/>
    </row>
    <row r="171" spans="4:9" ht="15.75" x14ac:dyDescent="0.25">
      <c r="D171" s="27"/>
      <c r="E171" s="27"/>
      <c r="F171" s="28"/>
      <c r="G171" s="46"/>
      <c r="H171" s="27"/>
      <c r="I171" s="27"/>
    </row>
    <row r="172" spans="4:9" ht="15.75" x14ac:dyDescent="0.25">
      <c r="D172" s="27"/>
      <c r="E172" s="27"/>
      <c r="F172" s="28"/>
      <c r="G172" s="46"/>
      <c r="H172" s="27"/>
      <c r="I172" s="27"/>
    </row>
    <row r="173" spans="4:9" ht="15.75" x14ac:dyDescent="0.25">
      <c r="D173" s="27"/>
      <c r="E173" s="27"/>
      <c r="F173" s="28"/>
      <c r="G173" s="46"/>
      <c r="H173" s="27"/>
      <c r="I173" s="27"/>
    </row>
    <row r="174" spans="4:9" ht="15.75" x14ac:dyDescent="0.25">
      <c r="D174" s="27"/>
      <c r="E174" s="27"/>
      <c r="F174" s="28"/>
      <c r="G174" s="46"/>
      <c r="H174" s="27"/>
      <c r="I174" s="27"/>
    </row>
    <row r="175" spans="4:9" ht="15.75" x14ac:dyDescent="0.25">
      <c r="D175" s="27"/>
      <c r="E175" s="27"/>
      <c r="F175" s="28"/>
      <c r="G175" s="46"/>
      <c r="H175" s="27"/>
      <c r="I175" s="27"/>
    </row>
    <row r="176" spans="4:9" ht="15.75" x14ac:dyDescent="0.25">
      <c r="D176" s="27"/>
      <c r="E176" s="27"/>
      <c r="F176" s="28"/>
      <c r="G176" s="46"/>
      <c r="H176" s="27"/>
      <c r="I176" s="27"/>
    </row>
    <row r="177" spans="4:9" ht="15.75" x14ac:dyDescent="0.25">
      <c r="D177" s="27"/>
      <c r="E177" s="27"/>
      <c r="F177" s="28"/>
      <c r="G177" s="46"/>
      <c r="H177" s="27"/>
      <c r="I177" s="27"/>
    </row>
    <row r="178" spans="4:9" ht="15.75" x14ac:dyDescent="0.25">
      <c r="D178" s="27"/>
      <c r="E178" s="27"/>
      <c r="F178" s="28"/>
      <c r="G178" s="46"/>
      <c r="H178" s="27"/>
      <c r="I178" s="27"/>
    </row>
    <row r="179" spans="4:9" ht="15.75" x14ac:dyDescent="0.25">
      <c r="D179" s="18"/>
      <c r="E179" s="18"/>
      <c r="F179" s="28"/>
      <c r="G179" s="46"/>
      <c r="H179" s="27"/>
      <c r="I179" s="27"/>
    </row>
    <row r="180" spans="4:9" ht="15.75" x14ac:dyDescent="0.25">
      <c r="D180" s="18"/>
      <c r="E180" s="18"/>
      <c r="F180" s="28"/>
      <c r="G180" s="46"/>
      <c r="H180" s="27"/>
      <c r="I180" s="27"/>
    </row>
    <row r="181" spans="4:9" ht="15.75" x14ac:dyDescent="0.25">
      <c r="D181" s="18"/>
      <c r="E181" s="18"/>
      <c r="F181" s="28"/>
      <c r="G181" s="46"/>
      <c r="H181" s="27"/>
      <c r="I181" s="27"/>
    </row>
    <row r="182" spans="4:9" ht="15.75" x14ac:dyDescent="0.25">
      <c r="D182" s="18"/>
      <c r="E182" s="18"/>
      <c r="F182" s="28"/>
      <c r="G182" s="46"/>
      <c r="H182" s="27"/>
      <c r="I182" s="27"/>
    </row>
    <row r="183" spans="4:9" ht="15.75" x14ac:dyDescent="0.25">
      <c r="D183" s="18"/>
      <c r="E183" s="18"/>
      <c r="F183" s="28"/>
      <c r="G183" s="46"/>
      <c r="H183" s="27"/>
      <c r="I183" s="27"/>
    </row>
    <row r="184" spans="4:9" ht="15.75" x14ac:dyDescent="0.25">
      <c r="D184" s="18"/>
      <c r="E184" s="18"/>
      <c r="F184" s="28"/>
      <c r="G184" s="46"/>
      <c r="H184" s="27"/>
      <c r="I184" s="27"/>
    </row>
    <row r="185" spans="4:9" ht="15.75" x14ac:dyDescent="0.25">
      <c r="D185" s="18"/>
      <c r="E185" s="18"/>
      <c r="F185" s="28"/>
      <c r="G185" s="46"/>
      <c r="H185" s="27"/>
      <c r="I185" s="27"/>
    </row>
    <row r="186" spans="4:9" ht="15.75" x14ac:dyDescent="0.25">
      <c r="D186" s="18"/>
      <c r="E186" s="18"/>
      <c r="F186" s="28"/>
      <c r="G186" s="46"/>
      <c r="H186" s="27"/>
      <c r="I186" s="27"/>
    </row>
    <row r="187" spans="4:9" ht="15.75" x14ac:dyDescent="0.25">
      <c r="D187" s="18"/>
      <c r="E187" s="18"/>
      <c r="F187" s="28"/>
      <c r="G187" s="46"/>
      <c r="H187" s="27"/>
      <c r="I187" s="27"/>
    </row>
    <row r="188" spans="4:9" ht="15.75" x14ac:dyDescent="0.25">
      <c r="D188" s="18"/>
      <c r="E188" s="18"/>
      <c r="F188" s="28"/>
      <c r="G188" s="46"/>
      <c r="H188" s="27"/>
      <c r="I188" s="27"/>
    </row>
    <row r="189" spans="4:9" ht="15.75" x14ac:dyDescent="0.25">
      <c r="D189" s="18"/>
      <c r="E189" s="18"/>
      <c r="F189" s="28"/>
      <c r="G189" s="46"/>
      <c r="H189" s="27"/>
      <c r="I189" s="27"/>
    </row>
    <row r="190" spans="4:9" ht="15.75" x14ac:dyDescent="0.25">
      <c r="D190" s="18"/>
      <c r="E190" s="18"/>
      <c r="F190" s="28"/>
      <c r="G190" s="46"/>
      <c r="H190" s="27"/>
      <c r="I190" s="27"/>
    </row>
    <row r="191" spans="4:9" ht="15.75" x14ac:dyDescent="0.25">
      <c r="D191" s="18"/>
      <c r="E191" s="18"/>
      <c r="F191" s="28"/>
      <c r="G191" s="46"/>
      <c r="H191" s="27"/>
      <c r="I191" s="27"/>
    </row>
  </sheetData>
  <mergeCells count="2">
    <mergeCell ref="K6:P8"/>
    <mergeCell ref="F17:G1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815"/>
  <sheetViews>
    <sheetView showGridLines="0" showRowColHeaders="0" workbookViewId="0">
      <pane xSplit="5" ySplit="27" topLeftCell="F28" activePane="bottomRight" state="frozen"/>
      <selection pane="topRight" activeCell="F1" sqref="F1"/>
      <selection pane="bottomLeft" activeCell="A28" sqref="A28"/>
      <selection pane="bottomRight"/>
    </sheetView>
  </sheetViews>
  <sheetFormatPr baseColWidth="10" defaultColWidth="23" defaultRowHeight="15" x14ac:dyDescent="0.25"/>
  <cols>
    <col min="1" max="1" width="32.85546875" style="71" customWidth="1"/>
    <col min="2" max="2" width="17.7109375" style="71" customWidth="1"/>
    <col min="3" max="3" width="17.28515625" style="71" customWidth="1"/>
    <col min="4" max="4" width="23" style="71" customWidth="1"/>
    <col min="5" max="5" width="29.7109375" style="71" customWidth="1"/>
    <col min="6" max="7" width="23" style="71" customWidth="1"/>
    <col min="8" max="9" width="11.140625" style="71" customWidth="1"/>
    <col min="10" max="10" width="13.5703125" style="71" customWidth="1"/>
    <col min="11" max="11" width="11.42578125" style="71" customWidth="1"/>
    <col min="12" max="12" width="11.28515625" style="71" customWidth="1"/>
    <col min="13" max="13" width="10.5703125" style="71" customWidth="1"/>
    <col min="14" max="14" width="11.5703125" style="71" customWidth="1"/>
    <col min="15" max="15" width="10.140625" style="71" customWidth="1"/>
    <col min="16" max="16" width="11.140625" style="71" customWidth="1"/>
    <col min="17" max="17" width="11" style="71" customWidth="1"/>
    <col min="18" max="18" width="9.28515625" style="71" customWidth="1"/>
    <col min="19" max="19" width="11" style="71" customWidth="1"/>
    <col min="20" max="20" width="23" style="71" customWidth="1"/>
    <col min="21" max="21" width="25.42578125" style="71" customWidth="1"/>
    <col min="22" max="26" width="23" style="71" customWidth="1"/>
    <col min="27" max="27" width="38.5703125" style="71" customWidth="1"/>
    <col min="28" max="16384" width="23" style="61"/>
  </cols>
  <sheetData>
    <row r="1" spans="1:27" x14ac:dyDescent="0.25">
      <c r="A1" s="60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</row>
    <row r="2" spans="1:27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</row>
    <row r="3" spans="1:27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</row>
    <row r="4" spans="1:27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27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</row>
    <row r="6" spans="1:27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</row>
    <row r="7" spans="1:27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</row>
    <row r="8" spans="1:27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</row>
    <row r="9" spans="1:27" x14ac:dyDescent="0.25">
      <c r="A9" s="61"/>
      <c r="B9" s="62"/>
      <c r="C9" s="62"/>
      <c r="D9" s="62"/>
      <c r="E9" s="62"/>
      <c r="F9" s="62"/>
      <c r="G9" s="62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</row>
    <row r="10" spans="1:27" ht="21" x14ac:dyDescent="0.25">
      <c r="A10" s="61"/>
      <c r="B10" s="62"/>
      <c r="C10" s="47"/>
      <c r="D10" s="48"/>
      <c r="E10" s="62"/>
      <c r="F10" s="62"/>
      <c r="G10" s="62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</row>
    <row r="11" spans="1:27" ht="21" x14ac:dyDescent="0.25">
      <c r="A11" s="61"/>
      <c r="B11" s="62"/>
      <c r="C11" s="47"/>
      <c r="D11" s="48"/>
      <c r="E11" s="62"/>
      <c r="F11" s="62"/>
      <c r="G11" s="62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</row>
    <row r="12" spans="1:27" x14ac:dyDescent="0.25">
      <c r="A12" s="61"/>
      <c r="B12" s="62"/>
      <c r="C12" s="62"/>
      <c r="D12" s="62"/>
      <c r="E12" s="62"/>
      <c r="F12" s="62"/>
      <c r="G12" s="62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</row>
    <row r="13" spans="1:27" x14ac:dyDescent="0.25">
      <c r="A13" s="61"/>
      <c r="B13" s="63"/>
      <c r="C13" s="63"/>
      <c r="D13" s="63"/>
      <c r="E13" s="63"/>
      <c r="F13" s="63"/>
      <c r="G13" s="63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</row>
    <row r="14" spans="1:27" x14ac:dyDescent="0.25">
      <c r="A14" s="61"/>
      <c r="B14" s="63"/>
      <c r="C14" s="63"/>
      <c r="D14" s="63"/>
      <c r="E14" s="63"/>
      <c r="F14" s="63"/>
      <c r="G14" s="63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</row>
    <row r="15" spans="1:27" x14ac:dyDescent="0.25">
      <c r="A15" s="61"/>
      <c r="B15" s="63"/>
      <c r="C15" s="63"/>
      <c r="D15" s="63"/>
      <c r="E15" s="63"/>
      <c r="F15" s="63"/>
      <c r="G15" s="63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</row>
    <row r="16" spans="1:27" x14ac:dyDescent="0.25">
      <c r="A16" s="61"/>
      <c r="B16" s="63"/>
      <c r="C16" s="63"/>
      <c r="D16" s="63"/>
      <c r="E16" s="63"/>
      <c r="F16" s="63"/>
      <c r="G16" s="63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</row>
    <row r="17" spans="1:27" ht="21.75" thickBot="1" x14ac:dyDescent="0.3">
      <c r="A17" s="61"/>
      <c r="B17" s="63"/>
      <c r="C17" s="228" t="s">
        <v>711</v>
      </c>
      <c r="D17" s="228"/>
      <c r="E17" s="44">
        <f>COUNTIF($G$28:G1048576,"DENTRO")</f>
        <v>0</v>
      </c>
      <c r="F17" s="63"/>
      <c r="G17" s="63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</row>
    <row r="18" spans="1:27" ht="16.5" thickBot="1" x14ac:dyDescent="0.3">
      <c r="A18" s="15" t="s">
        <v>0</v>
      </c>
      <c r="B18" s="16" t="s">
        <v>165</v>
      </c>
      <c r="C18" s="16" t="s">
        <v>1</v>
      </c>
      <c r="D18" s="17" t="s">
        <v>2</v>
      </c>
      <c r="E18" s="16" t="s">
        <v>3</v>
      </c>
      <c r="F18" s="205" t="s">
        <v>4</v>
      </c>
      <c r="G18" s="206" t="s">
        <v>979</v>
      </c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</row>
    <row r="19" spans="1:27" ht="16.5" thickBot="1" x14ac:dyDescent="0.3">
      <c r="A19" s="65"/>
      <c r="B19" s="66"/>
      <c r="C19" s="224"/>
      <c r="D19" s="225"/>
      <c r="E19" s="223"/>
      <c r="F19" s="222"/>
      <c r="G19" s="207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</row>
    <row r="20" spans="1:27" x14ac:dyDescent="0.25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</row>
    <row r="21" spans="1:27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</row>
    <row r="22" spans="1:27" x14ac:dyDescent="0.25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</row>
    <row r="23" spans="1:27" x14ac:dyDescent="0.25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</row>
    <row r="24" spans="1:27" ht="15.75" thickBot="1" x14ac:dyDescent="0.3">
      <c r="A24" s="61"/>
      <c r="B24" s="61"/>
      <c r="C24" s="61"/>
      <c r="D24" s="61"/>
      <c r="E24" s="61"/>
      <c r="F24" s="61"/>
      <c r="G24" s="61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</row>
    <row r="25" spans="1:27" ht="15.75" customHeight="1" x14ac:dyDescent="0.25">
      <c r="A25" s="229" t="s">
        <v>1003</v>
      </c>
      <c r="B25" s="230"/>
      <c r="C25" s="230"/>
      <c r="D25" s="230"/>
      <c r="E25" s="230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34"/>
    </row>
    <row r="26" spans="1:27" ht="15.75" customHeight="1" x14ac:dyDescent="0.25">
      <c r="A26" s="231"/>
      <c r="B26" s="232"/>
      <c r="C26" s="232"/>
      <c r="D26" s="232"/>
      <c r="E26" s="232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35"/>
    </row>
    <row r="27" spans="1:27" ht="16.5" customHeight="1" x14ac:dyDescent="0.25">
      <c r="A27" s="231"/>
      <c r="B27" s="232"/>
      <c r="C27" s="232"/>
      <c r="D27" s="232"/>
      <c r="E27" s="232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35"/>
    </row>
    <row r="28" spans="1:27" ht="15.75" x14ac:dyDescent="0.25">
      <c r="A28" s="3" t="s">
        <v>0</v>
      </c>
      <c r="B28" s="3" t="s">
        <v>165</v>
      </c>
      <c r="C28" s="3" t="s">
        <v>1</v>
      </c>
      <c r="D28" s="4" t="s">
        <v>2</v>
      </c>
      <c r="E28" s="3" t="s">
        <v>3</v>
      </c>
      <c r="F28" s="3" t="s">
        <v>4</v>
      </c>
      <c r="G28" s="3" t="s">
        <v>979</v>
      </c>
      <c r="H28" s="56" t="s">
        <v>5</v>
      </c>
      <c r="I28" s="56" t="s">
        <v>6</v>
      </c>
      <c r="J28" s="3" t="s">
        <v>7</v>
      </c>
      <c r="K28" s="56" t="s">
        <v>5</v>
      </c>
      <c r="L28" s="56" t="s">
        <v>6</v>
      </c>
      <c r="M28" s="3" t="s">
        <v>7</v>
      </c>
      <c r="N28" s="56" t="s">
        <v>5</v>
      </c>
      <c r="O28" s="56" t="s">
        <v>6</v>
      </c>
      <c r="P28" s="56" t="s">
        <v>7</v>
      </c>
      <c r="Q28" s="56" t="s">
        <v>5</v>
      </c>
      <c r="R28" s="56" t="s">
        <v>6</v>
      </c>
      <c r="S28" s="3" t="s">
        <v>7</v>
      </c>
      <c r="T28" s="3" t="s">
        <v>910</v>
      </c>
      <c r="U28" s="3" t="s">
        <v>911</v>
      </c>
      <c r="V28" s="3" t="s">
        <v>8</v>
      </c>
      <c r="W28" s="3" t="s">
        <v>9</v>
      </c>
      <c r="X28" s="3" t="s">
        <v>10</v>
      </c>
      <c r="Y28" s="3" t="s">
        <v>11</v>
      </c>
      <c r="Z28" s="3" t="s">
        <v>12</v>
      </c>
      <c r="AA28" s="3" t="s">
        <v>13</v>
      </c>
    </row>
    <row r="29" spans="1:27" ht="15.75" x14ac:dyDescent="0.25">
      <c r="A29" s="67"/>
      <c r="B29" s="67"/>
      <c r="C29" s="68"/>
      <c r="D29" s="69"/>
      <c r="E29" s="70"/>
      <c r="F29" s="70"/>
      <c r="G29" s="70"/>
    </row>
    <row r="30" spans="1:27" ht="15.75" x14ac:dyDescent="0.25">
      <c r="A30" s="67"/>
      <c r="B30" s="67"/>
      <c r="C30" s="68"/>
      <c r="D30" s="69"/>
      <c r="E30" s="70"/>
      <c r="F30" s="70"/>
      <c r="G30" s="70"/>
    </row>
    <row r="31" spans="1:27" ht="15.75" x14ac:dyDescent="0.25">
      <c r="A31" s="67"/>
      <c r="B31" s="67"/>
      <c r="C31" s="68"/>
      <c r="D31" s="69"/>
      <c r="E31" s="70"/>
      <c r="F31" s="70"/>
      <c r="G31" s="70"/>
    </row>
    <row r="32" spans="1:27" ht="15.75" x14ac:dyDescent="0.25">
      <c r="A32" s="67"/>
      <c r="B32" s="67"/>
      <c r="C32" s="68"/>
      <c r="D32" s="69"/>
      <c r="E32" s="70"/>
      <c r="F32" s="70"/>
      <c r="G32" s="70"/>
    </row>
    <row r="33" spans="1:7" ht="15.75" x14ac:dyDescent="0.25">
      <c r="A33" s="67"/>
      <c r="B33" s="67"/>
      <c r="C33" s="68"/>
      <c r="D33" s="69"/>
      <c r="E33" s="70"/>
      <c r="F33" s="70"/>
      <c r="G33" s="70"/>
    </row>
    <row r="34" spans="1:7" ht="15.75" x14ac:dyDescent="0.25">
      <c r="A34" s="67"/>
      <c r="B34" s="67"/>
      <c r="C34" s="68"/>
      <c r="D34" s="69"/>
      <c r="E34" s="70"/>
      <c r="F34" s="70"/>
      <c r="G34" s="70"/>
    </row>
    <row r="35" spans="1:7" ht="15.75" x14ac:dyDescent="0.25">
      <c r="A35" s="67"/>
      <c r="B35" s="67"/>
      <c r="C35" s="68"/>
      <c r="D35" s="69"/>
      <c r="E35" s="70"/>
      <c r="F35" s="70"/>
      <c r="G35" s="70"/>
    </row>
    <row r="36" spans="1:7" ht="15.75" x14ac:dyDescent="0.25">
      <c r="A36" s="67"/>
      <c r="B36" s="67"/>
      <c r="C36" s="68"/>
      <c r="D36" s="69"/>
      <c r="E36" s="70"/>
      <c r="F36" s="70"/>
      <c r="G36" s="70"/>
    </row>
    <row r="37" spans="1:7" ht="15.75" x14ac:dyDescent="0.25">
      <c r="A37" s="67"/>
      <c r="B37" s="67"/>
      <c r="C37" s="68"/>
      <c r="D37" s="69"/>
      <c r="E37" s="70"/>
      <c r="F37" s="70"/>
      <c r="G37" s="70"/>
    </row>
    <row r="38" spans="1:7" ht="15.75" x14ac:dyDescent="0.25">
      <c r="A38" s="67"/>
      <c r="B38" s="67"/>
      <c r="C38" s="68"/>
      <c r="D38" s="69"/>
      <c r="E38" s="70"/>
      <c r="F38" s="70"/>
      <c r="G38" s="70"/>
    </row>
    <row r="39" spans="1:7" ht="15.75" x14ac:dyDescent="0.25">
      <c r="A39" s="67"/>
      <c r="B39" s="67"/>
      <c r="C39" s="68"/>
      <c r="D39" s="69"/>
      <c r="E39" s="70"/>
      <c r="F39" s="70"/>
      <c r="G39" s="70"/>
    </row>
    <row r="40" spans="1:7" ht="15.75" x14ac:dyDescent="0.25">
      <c r="A40" s="67"/>
      <c r="B40" s="67"/>
      <c r="C40" s="68"/>
      <c r="D40" s="69"/>
      <c r="E40" s="70"/>
      <c r="F40" s="70"/>
      <c r="G40" s="70"/>
    </row>
    <row r="41" spans="1:7" ht="15.75" x14ac:dyDescent="0.25">
      <c r="A41" s="67"/>
      <c r="B41" s="67"/>
      <c r="C41" s="68"/>
      <c r="D41" s="69"/>
      <c r="E41" s="70"/>
      <c r="F41" s="70"/>
      <c r="G41" s="70"/>
    </row>
    <row r="42" spans="1:7" ht="15.75" x14ac:dyDescent="0.25">
      <c r="A42" s="67"/>
      <c r="B42" s="67"/>
      <c r="C42" s="68"/>
      <c r="D42" s="69"/>
      <c r="E42" s="70"/>
      <c r="F42" s="70"/>
      <c r="G42" s="70"/>
    </row>
    <row r="43" spans="1:7" ht="15.75" x14ac:dyDescent="0.25">
      <c r="A43" s="67"/>
      <c r="B43" s="67"/>
      <c r="C43" s="68"/>
      <c r="D43" s="69"/>
      <c r="E43" s="70"/>
      <c r="F43" s="70"/>
      <c r="G43" s="70"/>
    </row>
    <row r="44" spans="1:7" ht="15.75" x14ac:dyDescent="0.25">
      <c r="A44" s="67"/>
      <c r="B44" s="67"/>
      <c r="C44" s="68"/>
      <c r="D44" s="69"/>
      <c r="E44" s="70"/>
      <c r="F44" s="70"/>
      <c r="G44" s="70"/>
    </row>
    <row r="45" spans="1:7" ht="15.75" x14ac:dyDescent="0.25">
      <c r="A45" s="67"/>
      <c r="B45" s="67"/>
      <c r="C45" s="68"/>
      <c r="D45" s="69"/>
      <c r="E45" s="70"/>
      <c r="F45" s="70"/>
      <c r="G45" s="70"/>
    </row>
    <row r="46" spans="1:7" ht="15.75" x14ac:dyDescent="0.25">
      <c r="A46" s="67"/>
      <c r="B46" s="67"/>
      <c r="C46" s="68"/>
      <c r="D46" s="69"/>
      <c r="E46" s="70"/>
      <c r="F46" s="70"/>
      <c r="G46" s="70"/>
    </row>
    <row r="47" spans="1:7" ht="15.75" x14ac:dyDescent="0.25">
      <c r="A47" s="67"/>
      <c r="B47" s="67"/>
      <c r="C47" s="68"/>
      <c r="D47" s="69"/>
      <c r="E47" s="70"/>
      <c r="F47" s="70"/>
      <c r="G47" s="70"/>
    </row>
    <row r="48" spans="1:7" ht="15.75" x14ac:dyDescent="0.25">
      <c r="A48" s="67"/>
      <c r="B48" s="67"/>
      <c r="C48" s="68"/>
      <c r="D48" s="69"/>
      <c r="E48" s="70"/>
      <c r="F48" s="70"/>
      <c r="G48" s="70"/>
    </row>
    <row r="49" spans="1:7" ht="15.75" x14ac:dyDescent="0.25">
      <c r="A49" s="67"/>
      <c r="B49" s="67"/>
      <c r="C49" s="68"/>
      <c r="D49" s="69"/>
      <c r="E49" s="70"/>
      <c r="F49" s="70"/>
      <c r="G49" s="70"/>
    </row>
    <row r="50" spans="1:7" ht="15.75" x14ac:dyDescent="0.25">
      <c r="A50" s="67"/>
      <c r="B50" s="67"/>
      <c r="C50" s="68"/>
      <c r="D50" s="69"/>
      <c r="E50" s="70"/>
      <c r="F50" s="70"/>
      <c r="G50" s="70"/>
    </row>
    <row r="51" spans="1:7" ht="15.75" x14ac:dyDescent="0.25">
      <c r="A51" s="67"/>
      <c r="B51" s="67"/>
      <c r="C51" s="68"/>
      <c r="D51" s="69"/>
      <c r="E51" s="70"/>
      <c r="F51" s="70"/>
      <c r="G51" s="70"/>
    </row>
    <row r="52" spans="1:7" ht="15.75" x14ac:dyDescent="0.25">
      <c r="A52" s="67"/>
      <c r="B52" s="67"/>
      <c r="C52" s="68"/>
      <c r="D52" s="69"/>
      <c r="E52" s="70"/>
      <c r="F52" s="70"/>
      <c r="G52" s="70"/>
    </row>
    <row r="53" spans="1:7" ht="15.75" x14ac:dyDescent="0.25">
      <c r="A53" s="67"/>
      <c r="B53" s="67"/>
      <c r="C53" s="68"/>
      <c r="D53" s="69"/>
      <c r="E53" s="70"/>
      <c r="F53" s="70"/>
      <c r="G53" s="70"/>
    </row>
    <row r="54" spans="1:7" ht="15.75" x14ac:dyDescent="0.25">
      <c r="A54" s="67"/>
      <c r="B54" s="67"/>
      <c r="C54" s="68"/>
      <c r="D54" s="69"/>
      <c r="E54" s="70"/>
      <c r="F54" s="70"/>
      <c r="G54" s="70"/>
    </row>
    <row r="55" spans="1:7" ht="15.75" x14ac:dyDescent="0.25">
      <c r="A55" s="67"/>
      <c r="B55" s="67"/>
      <c r="C55" s="68"/>
      <c r="D55" s="69"/>
      <c r="E55" s="70"/>
      <c r="F55" s="70"/>
      <c r="G55" s="70"/>
    </row>
    <row r="56" spans="1:7" ht="15.75" x14ac:dyDescent="0.25">
      <c r="A56" s="67"/>
      <c r="B56" s="67"/>
      <c r="C56" s="68"/>
      <c r="D56" s="69"/>
      <c r="E56" s="70"/>
      <c r="F56" s="70"/>
      <c r="G56" s="70"/>
    </row>
    <row r="57" spans="1:7" ht="15.75" x14ac:dyDescent="0.25">
      <c r="A57" s="67"/>
      <c r="B57" s="67"/>
      <c r="C57" s="68"/>
      <c r="D57" s="69"/>
      <c r="E57" s="70"/>
      <c r="F57" s="70"/>
      <c r="G57" s="70"/>
    </row>
    <row r="58" spans="1:7" ht="15.75" x14ac:dyDescent="0.25">
      <c r="A58" s="67"/>
      <c r="B58" s="67"/>
      <c r="C58" s="68"/>
      <c r="D58" s="69"/>
      <c r="E58" s="70"/>
      <c r="F58" s="70"/>
      <c r="G58" s="70"/>
    </row>
    <row r="59" spans="1:7" ht="15.75" x14ac:dyDescent="0.25">
      <c r="A59" s="67"/>
      <c r="B59" s="67"/>
      <c r="C59" s="68"/>
      <c r="D59" s="69"/>
      <c r="E59" s="70"/>
      <c r="F59" s="70"/>
      <c r="G59" s="70"/>
    </row>
    <row r="60" spans="1:7" ht="15.75" x14ac:dyDescent="0.25">
      <c r="A60" s="67"/>
      <c r="B60" s="67"/>
      <c r="C60" s="68"/>
      <c r="D60" s="69"/>
      <c r="E60" s="70"/>
      <c r="F60" s="70"/>
      <c r="G60" s="70"/>
    </row>
    <row r="61" spans="1:7" ht="15.75" x14ac:dyDescent="0.25">
      <c r="A61" s="67"/>
      <c r="B61" s="67"/>
      <c r="C61" s="68"/>
      <c r="D61" s="69"/>
      <c r="E61" s="70"/>
      <c r="F61" s="70"/>
      <c r="G61" s="70"/>
    </row>
    <row r="62" spans="1:7" ht="15.75" x14ac:dyDescent="0.25">
      <c r="A62" s="67"/>
      <c r="B62" s="67"/>
      <c r="C62" s="68"/>
      <c r="D62" s="69"/>
      <c r="E62" s="70"/>
      <c r="F62" s="70"/>
      <c r="G62" s="70"/>
    </row>
    <row r="63" spans="1:7" ht="15.75" x14ac:dyDescent="0.25">
      <c r="A63" s="67"/>
      <c r="B63" s="67"/>
      <c r="C63" s="68"/>
      <c r="D63" s="69"/>
      <c r="E63" s="70"/>
      <c r="F63" s="70"/>
      <c r="G63" s="70"/>
    </row>
    <row r="64" spans="1:7" ht="15.75" x14ac:dyDescent="0.25">
      <c r="A64" s="67"/>
      <c r="B64" s="67"/>
      <c r="C64" s="68"/>
      <c r="D64" s="69"/>
      <c r="E64" s="70"/>
      <c r="F64" s="70"/>
      <c r="G64" s="70"/>
    </row>
    <row r="65" spans="1:7" ht="15.75" x14ac:dyDescent="0.25">
      <c r="A65" s="67"/>
      <c r="B65" s="67"/>
      <c r="C65" s="68"/>
      <c r="D65" s="69"/>
      <c r="E65" s="70"/>
      <c r="F65" s="70"/>
      <c r="G65" s="70"/>
    </row>
    <row r="66" spans="1:7" ht="15.75" x14ac:dyDescent="0.25">
      <c r="A66" s="67"/>
      <c r="B66" s="67"/>
      <c r="C66" s="68"/>
      <c r="D66" s="69"/>
      <c r="E66" s="70"/>
      <c r="F66" s="70"/>
      <c r="G66" s="70"/>
    </row>
    <row r="67" spans="1:7" ht="15.75" x14ac:dyDescent="0.25">
      <c r="A67" s="67"/>
      <c r="B67" s="67"/>
      <c r="C67" s="68"/>
      <c r="D67" s="69"/>
      <c r="E67" s="70"/>
      <c r="F67" s="70"/>
      <c r="G67" s="70"/>
    </row>
    <row r="68" spans="1:7" ht="15.75" x14ac:dyDescent="0.25">
      <c r="A68" s="67"/>
      <c r="B68" s="67"/>
      <c r="C68" s="68"/>
      <c r="D68" s="69"/>
      <c r="E68" s="70"/>
      <c r="F68" s="70"/>
      <c r="G68" s="70"/>
    </row>
    <row r="69" spans="1:7" ht="15.75" x14ac:dyDescent="0.25">
      <c r="A69" s="67"/>
      <c r="B69" s="67"/>
      <c r="C69" s="68"/>
      <c r="D69" s="69"/>
      <c r="E69" s="70"/>
      <c r="F69" s="70"/>
      <c r="G69" s="70"/>
    </row>
    <row r="70" spans="1:7" ht="15.75" x14ac:dyDescent="0.25">
      <c r="A70" s="67"/>
      <c r="B70" s="67"/>
      <c r="C70" s="68"/>
      <c r="D70" s="69"/>
      <c r="E70" s="70"/>
      <c r="F70" s="70"/>
      <c r="G70" s="70"/>
    </row>
    <row r="71" spans="1:7" ht="15.75" x14ac:dyDescent="0.25">
      <c r="A71" s="67"/>
      <c r="B71" s="67"/>
      <c r="C71" s="68"/>
      <c r="D71" s="69"/>
      <c r="E71" s="70"/>
      <c r="F71" s="70"/>
      <c r="G71" s="70"/>
    </row>
    <row r="72" spans="1:7" ht="15.75" x14ac:dyDescent="0.25">
      <c r="A72" s="67"/>
      <c r="B72" s="67"/>
      <c r="C72" s="68"/>
      <c r="D72" s="69"/>
      <c r="E72" s="70"/>
      <c r="F72" s="70"/>
      <c r="G72" s="70"/>
    </row>
    <row r="73" spans="1:7" ht="15.75" x14ac:dyDescent="0.25">
      <c r="A73" s="67"/>
      <c r="B73" s="67"/>
      <c r="C73" s="68"/>
      <c r="D73" s="69"/>
      <c r="E73" s="70"/>
      <c r="F73" s="70"/>
      <c r="G73" s="70"/>
    </row>
    <row r="74" spans="1:7" ht="15.75" x14ac:dyDescent="0.25">
      <c r="A74" s="67"/>
      <c r="B74" s="67"/>
      <c r="C74" s="68"/>
      <c r="D74" s="69"/>
      <c r="E74" s="70"/>
      <c r="F74" s="70"/>
      <c r="G74" s="70"/>
    </row>
    <row r="75" spans="1:7" ht="15.75" x14ac:dyDescent="0.25">
      <c r="A75" s="67"/>
      <c r="B75" s="67"/>
      <c r="C75" s="68"/>
      <c r="D75" s="69"/>
      <c r="E75" s="70"/>
      <c r="F75" s="70"/>
      <c r="G75" s="70"/>
    </row>
    <row r="76" spans="1:7" ht="15.75" x14ac:dyDescent="0.25">
      <c r="A76" s="67"/>
      <c r="B76" s="67"/>
      <c r="C76" s="68"/>
      <c r="D76" s="69"/>
      <c r="E76" s="70"/>
      <c r="F76" s="70"/>
      <c r="G76" s="70"/>
    </row>
    <row r="77" spans="1:7" ht="15.75" x14ac:dyDescent="0.25">
      <c r="A77" s="67"/>
      <c r="B77" s="67"/>
      <c r="C77" s="68"/>
      <c r="D77" s="69"/>
      <c r="E77" s="70"/>
      <c r="F77" s="70"/>
      <c r="G77" s="70"/>
    </row>
    <row r="78" spans="1:7" ht="15.75" x14ac:dyDescent="0.25">
      <c r="A78" s="67"/>
      <c r="B78" s="67"/>
      <c r="C78" s="68"/>
      <c r="D78" s="69"/>
      <c r="E78" s="70"/>
      <c r="F78" s="70"/>
      <c r="G78" s="70"/>
    </row>
    <row r="79" spans="1:7" ht="15.75" x14ac:dyDescent="0.25">
      <c r="A79" s="67"/>
      <c r="B79" s="67"/>
      <c r="C79" s="68"/>
      <c r="D79" s="69"/>
      <c r="E79" s="70"/>
      <c r="F79" s="70"/>
      <c r="G79" s="70"/>
    </row>
    <row r="80" spans="1:7" ht="15.75" x14ac:dyDescent="0.25">
      <c r="A80" s="67"/>
      <c r="B80" s="67"/>
      <c r="C80" s="68"/>
      <c r="D80" s="69"/>
      <c r="E80" s="70"/>
      <c r="F80" s="70"/>
      <c r="G80" s="70"/>
    </row>
    <row r="81" spans="1:7" ht="15.75" x14ac:dyDescent="0.25">
      <c r="A81" s="67"/>
      <c r="B81" s="67"/>
      <c r="C81" s="68"/>
      <c r="D81" s="69"/>
      <c r="E81" s="70"/>
      <c r="F81" s="70"/>
      <c r="G81" s="70"/>
    </row>
    <row r="82" spans="1:7" ht="15.75" x14ac:dyDescent="0.25">
      <c r="A82" s="67"/>
      <c r="B82" s="67"/>
      <c r="C82" s="68"/>
      <c r="D82" s="69"/>
      <c r="E82" s="70"/>
      <c r="F82" s="70"/>
      <c r="G82" s="70"/>
    </row>
    <row r="83" spans="1:7" ht="15.75" x14ac:dyDescent="0.25">
      <c r="A83" s="67"/>
      <c r="B83" s="67"/>
      <c r="C83" s="68"/>
      <c r="D83" s="69"/>
      <c r="E83" s="70"/>
      <c r="F83" s="70"/>
      <c r="G83" s="70"/>
    </row>
    <row r="84" spans="1:7" ht="15.75" x14ac:dyDescent="0.25">
      <c r="A84" s="67"/>
      <c r="B84" s="67"/>
      <c r="C84" s="68"/>
      <c r="D84" s="69"/>
      <c r="E84" s="70"/>
      <c r="F84" s="70"/>
      <c r="G84" s="70"/>
    </row>
    <row r="85" spans="1:7" ht="15.75" x14ac:dyDescent="0.25">
      <c r="A85" s="67"/>
      <c r="B85" s="67"/>
      <c r="C85" s="68"/>
      <c r="D85" s="69"/>
      <c r="E85" s="70"/>
      <c r="F85" s="70"/>
      <c r="G85" s="70"/>
    </row>
    <row r="86" spans="1:7" ht="15.75" x14ac:dyDescent="0.25">
      <c r="A86" s="67"/>
      <c r="B86" s="67"/>
      <c r="C86" s="68"/>
      <c r="D86" s="69"/>
      <c r="E86" s="70"/>
      <c r="F86" s="70"/>
      <c r="G86" s="70"/>
    </row>
    <row r="87" spans="1:7" ht="15.75" x14ac:dyDescent="0.25">
      <c r="A87" s="67"/>
      <c r="B87" s="67"/>
      <c r="C87" s="68"/>
      <c r="D87" s="69"/>
      <c r="E87" s="70"/>
      <c r="F87" s="70"/>
      <c r="G87" s="70"/>
    </row>
    <row r="88" spans="1:7" ht="15.75" x14ac:dyDescent="0.25">
      <c r="A88" s="67"/>
      <c r="B88" s="67"/>
      <c r="C88" s="68"/>
      <c r="D88" s="69"/>
      <c r="E88" s="70"/>
      <c r="F88" s="70"/>
      <c r="G88" s="70"/>
    </row>
    <row r="89" spans="1:7" ht="15.75" x14ac:dyDescent="0.25">
      <c r="A89" s="67"/>
      <c r="B89" s="67"/>
      <c r="C89" s="68"/>
      <c r="D89" s="69"/>
      <c r="E89" s="70"/>
      <c r="F89" s="70"/>
      <c r="G89" s="70"/>
    </row>
    <row r="90" spans="1:7" ht="15.75" x14ac:dyDescent="0.25">
      <c r="A90" s="67"/>
      <c r="B90" s="67"/>
      <c r="C90" s="68"/>
      <c r="D90" s="69"/>
      <c r="E90" s="70"/>
      <c r="F90" s="70"/>
      <c r="G90" s="70"/>
    </row>
    <row r="91" spans="1:7" ht="15.75" x14ac:dyDescent="0.25">
      <c r="A91" s="67"/>
      <c r="B91" s="67"/>
      <c r="C91" s="68"/>
      <c r="D91" s="69"/>
      <c r="E91" s="70"/>
      <c r="F91" s="70"/>
      <c r="G91" s="70"/>
    </row>
    <row r="92" spans="1:7" ht="15.75" x14ac:dyDescent="0.25">
      <c r="A92" s="67"/>
      <c r="B92" s="67"/>
      <c r="C92" s="68"/>
      <c r="D92" s="69"/>
      <c r="E92" s="70"/>
      <c r="F92" s="70"/>
      <c r="G92" s="70"/>
    </row>
    <row r="93" spans="1:7" ht="15.75" x14ac:dyDescent="0.25">
      <c r="A93" s="67"/>
      <c r="B93" s="67"/>
      <c r="C93" s="68"/>
      <c r="D93" s="69"/>
      <c r="E93" s="70"/>
      <c r="F93" s="70"/>
      <c r="G93" s="70"/>
    </row>
    <row r="94" spans="1:7" ht="15.75" x14ac:dyDescent="0.25">
      <c r="A94" s="67"/>
      <c r="B94" s="67"/>
      <c r="C94" s="68"/>
      <c r="D94" s="69"/>
      <c r="E94" s="70"/>
      <c r="F94" s="70"/>
      <c r="G94" s="70"/>
    </row>
    <row r="95" spans="1:7" ht="15.75" x14ac:dyDescent="0.25">
      <c r="A95" s="67"/>
      <c r="B95" s="67"/>
      <c r="C95" s="68"/>
      <c r="D95" s="69"/>
      <c r="E95" s="70"/>
      <c r="F95" s="70"/>
      <c r="G95" s="70"/>
    </row>
    <row r="96" spans="1:7" ht="15.75" x14ac:dyDescent="0.25">
      <c r="A96" s="67"/>
      <c r="B96" s="67"/>
      <c r="C96" s="68"/>
      <c r="D96" s="69"/>
      <c r="E96" s="70"/>
      <c r="F96" s="70"/>
      <c r="G96" s="70"/>
    </row>
    <row r="97" spans="1:7" ht="15.75" x14ac:dyDescent="0.25">
      <c r="A97" s="67"/>
      <c r="B97" s="67"/>
      <c r="C97" s="68"/>
      <c r="D97" s="69"/>
      <c r="E97" s="70"/>
      <c r="F97" s="70"/>
      <c r="G97" s="70"/>
    </row>
    <row r="98" spans="1:7" ht="15.75" x14ac:dyDescent="0.25">
      <c r="A98" s="67"/>
      <c r="B98" s="67"/>
      <c r="C98" s="68"/>
      <c r="D98" s="69"/>
      <c r="E98" s="70"/>
      <c r="F98" s="70"/>
      <c r="G98" s="70"/>
    </row>
    <row r="99" spans="1:7" ht="15.75" x14ac:dyDescent="0.25">
      <c r="A99" s="67"/>
      <c r="B99" s="67"/>
      <c r="C99" s="68"/>
      <c r="D99" s="69"/>
      <c r="E99" s="70"/>
      <c r="F99" s="70"/>
      <c r="G99" s="70"/>
    </row>
    <row r="100" spans="1:7" ht="15.75" x14ac:dyDescent="0.25">
      <c r="A100" s="67"/>
      <c r="B100" s="67"/>
      <c r="C100" s="68"/>
      <c r="D100" s="69"/>
      <c r="E100" s="70"/>
      <c r="F100" s="70"/>
      <c r="G100" s="70"/>
    </row>
    <row r="101" spans="1:7" ht="15.75" x14ac:dyDescent="0.25">
      <c r="A101" s="67"/>
      <c r="B101" s="67"/>
      <c r="C101" s="68"/>
      <c r="D101" s="69"/>
      <c r="E101" s="70"/>
      <c r="F101" s="70"/>
      <c r="G101" s="70"/>
    </row>
    <row r="102" spans="1:7" ht="15.75" x14ac:dyDescent="0.25">
      <c r="A102" s="67"/>
      <c r="B102" s="67"/>
      <c r="C102" s="68"/>
      <c r="D102" s="69"/>
      <c r="E102" s="70"/>
      <c r="F102" s="70"/>
      <c r="G102" s="70"/>
    </row>
    <row r="103" spans="1:7" ht="15.75" x14ac:dyDescent="0.25">
      <c r="A103" s="67"/>
      <c r="B103" s="67"/>
      <c r="C103" s="68"/>
      <c r="D103" s="69"/>
      <c r="E103" s="70"/>
      <c r="F103" s="70"/>
      <c r="G103" s="70"/>
    </row>
    <row r="104" spans="1:7" ht="15.75" x14ac:dyDescent="0.25">
      <c r="A104" s="67"/>
      <c r="B104" s="67"/>
      <c r="C104" s="68"/>
      <c r="D104" s="69"/>
      <c r="E104" s="70"/>
      <c r="F104" s="70"/>
      <c r="G104" s="70"/>
    </row>
    <row r="105" spans="1:7" ht="15.75" x14ac:dyDescent="0.25">
      <c r="A105" s="67"/>
      <c r="B105" s="67"/>
      <c r="C105" s="68"/>
      <c r="D105" s="69"/>
      <c r="E105" s="70"/>
      <c r="F105" s="70"/>
      <c r="G105" s="70"/>
    </row>
    <row r="106" spans="1:7" ht="15.75" x14ac:dyDescent="0.25">
      <c r="A106" s="67"/>
      <c r="B106" s="67"/>
      <c r="C106" s="68"/>
      <c r="D106" s="69"/>
      <c r="E106" s="70"/>
      <c r="F106" s="70"/>
      <c r="G106" s="70"/>
    </row>
    <row r="107" spans="1:7" ht="15.75" x14ac:dyDescent="0.25">
      <c r="A107" s="67"/>
      <c r="B107" s="67"/>
      <c r="C107" s="68"/>
      <c r="D107" s="69"/>
      <c r="E107" s="70"/>
      <c r="F107" s="70"/>
      <c r="G107" s="70"/>
    </row>
    <row r="108" spans="1:7" ht="15.75" x14ac:dyDescent="0.25">
      <c r="A108" s="67"/>
      <c r="B108" s="67"/>
      <c r="C108" s="68"/>
      <c r="D108" s="69"/>
      <c r="E108" s="70"/>
      <c r="F108" s="70"/>
      <c r="G108" s="70"/>
    </row>
    <row r="109" spans="1:7" ht="15.75" x14ac:dyDescent="0.25">
      <c r="A109" s="67"/>
      <c r="B109" s="67"/>
      <c r="C109" s="68"/>
      <c r="D109" s="69"/>
      <c r="E109" s="70"/>
      <c r="F109" s="70"/>
      <c r="G109" s="70"/>
    </row>
    <row r="110" spans="1:7" ht="15.75" x14ac:dyDescent="0.25">
      <c r="A110" s="67"/>
      <c r="B110" s="67"/>
      <c r="C110" s="68"/>
      <c r="D110" s="69"/>
      <c r="E110" s="70"/>
      <c r="F110" s="70"/>
      <c r="G110" s="70"/>
    </row>
    <row r="111" spans="1:7" ht="15.75" x14ac:dyDescent="0.25">
      <c r="A111" s="67"/>
      <c r="B111" s="67"/>
      <c r="C111" s="68"/>
      <c r="D111" s="69"/>
      <c r="E111" s="70"/>
      <c r="F111" s="70"/>
      <c r="G111" s="70"/>
    </row>
    <row r="112" spans="1:7" ht="15.75" x14ac:dyDescent="0.25">
      <c r="A112" s="67"/>
      <c r="B112" s="67"/>
      <c r="C112" s="68"/>
      <c r="D112" s="69"/>
      <c r="E112" s="70"/>
      <c r="F112" s="70"/>
      <c r="G112" s="70"/>
    </row>
    <row r="113" spans="1:7" ht="15.75" x14ac:dyDescent="0.25">
      <c r="A113" s="67"/>
      <c r="B113" s="67"/>
      <c r="C113" s="68"/>
      <c r="D113" s="69"/>
      <c r="E113" s="70"/>
      <c r="F113" s="70"/>
      <c r="G113" s="70"/>
    </row>
    <row r="114" spans="1:7" ht="15.75" x14ac:dyDescent="0.25">
      <c r="A114" s="67"/>
      <c r="B114" s="67"/>
      <c r="C114" s="68"/>
      <c r="D114" s="69"/>
      <c r="E114" s="70"/>
      <c r="F114" s="70"/>
      <c r="G114" s="70"/>
    </row>
    <row r="115" spans="1:7" ht="15.75" x14ac:dyDescent="0.25">
      <c r="A115" s="67"/>
      <c r="B115" s="67"/>
      <c r="C115" s="68"/>
      <c r="D115" s="69"/>
      <c r="E115" s="70"/>
      <c r="F115" s="70"/>
      <c r="G115" s="70"/>
    </row>
    <row r="116" spans="1:7" ht="15.75" x14ac:dyDescent="0.25">
      <c r="A116" s="67"/>
      <c r="B116" s="67"/>
      <c r="C116" s="68"/>
      <c r="D116" s="69"/>
      <c r="E116" s="70"/>
      <c r="F116" s="70"/>
      <c r="G116" s="70"/>
    </row>
    <row r="117" spans="1:7" ht="15.75" x14ac:dyDescent="0.25">
      <c r="A117" s="67"/>
      <c r="B117" s="67"/>
      <c r="C117" s="68"/>
      <c r="D117" s="69"/>
      <c r="E117" s="70"/>
      <c r="F117" s="70"/>
      <c r="G117" s="70"/>
    </row>
    <row r="118" spans="1:7" ht="15.75" x14ac:dyDescent="0.25">
      <c r="A118" s="67"/>
      <c r="B118" s="67"/>
      <c r="C118" s="68"/>
      <c r="D118" s="69"/>
      <c r="E118" s="70"/>
      <c r="F118" s="70"/>
      <c r="G118" s="70"/>
    </row>
    <row r="119" spans="1:7" ht="15.75" x14ac:dyDescent="0.25">
      <c r="A119" s="67"/>
      <c r="B119" s="67"/>
      <c r="C119" s="68"/>
      <c r="D119" s="69"/>
      <c r="E119" s="70"/>
      <c r="F119" s="70"/>
      <c r="G119" s="70"/>
    </row>
    <row r="120" spans="1:7" ht="15.75" x14ac:dyDescent="0.25">
      <c r="A120" s="67"/>
      <c r="B120" s="67"/>
      <c r="C120" s="68"/>
      <c r="D120" s="69"/>
      <c r="E120" s="70"/>
      <c r="F120" s="70"/>
      <c r="G120" s="70"/>
    </row>
    <row r="121" spans="1:7" ht="15.75" x14ac:dyDescent="0.25">
      <c r="A121" s="67"/>
      <c r="B121" s="67"/>
      <c r="C121" s="68"/>
      <c r="D121" s="69"/>
      <c r="E121" s="70"/>
      <c r="F121" s="70"/>
      <c r="G121" s="70"/>
    </row>
    <row r="122" spans="1:7" ht="15.75" x14ac:dyDescent="0.25">
      <c r="A122" s="67"/>
      <c r="B122" s="67"/>
      <c r="C122" s="68"/>
      <c r="D122" s="69"/>
      <c r="E122" s="70"/>
      <c r="F122" s="70"/>
      <c r="G122" s="70"/>
    </row>
    <row r="123" spans="1:7" ht="15.75" x14ac:dyDescent="0.25">
      <c r="A123" s="67"/>
      <c r="B123" s="67"/>
      <c r="C123" s="68"/>
      <c r="D123" s="69"/>
      <c r="E123" s="70"/>
      <c r="F123" s="70"/>
      <c r="G123" s="70"/>
    </row>
    <row r="124" spans="1:7" ht="15.75" x14ac:dyDescent="0.25">
      <c r="A124" s="67"/>
      <c r="B124" s="67"/>
      <c r="C124" s="68"/>
      <c r="D124" s="69"/>
      <c r="E124" s="70"/>
      <c r="F124" s="70"/>
      <c r="G124" s="70"/>
    </row>
    <row r="125" spans="1:7" ht="15.75" x14ac:dyDescent="0.25">
      <c r="A125" s="67"/>
      <c r="B125" s="67"/>
      <c r="C125" s="68"/>
      <c r="D125" s="69"/>
      <c r="E125" s="70"/>
      <c r="F125" s="70"/>
      <c r="G125" s="70"/>
    </row>
    <row r="126" spans="1:7" ht="15.75" x14ac:dyDescent="0.25">
      <c r="A126" s="67"/>
      <c r="B126" s="67"/>
      <c r="C126" s="68"/>
      <c r="D126" s="69"/>
      <c r="E126" s="70"/>
      <c r="F126" s="70"/>
      <c r="G126" s="70"/>
    </row>
    <row r="127" spans="1:7" ht="15.75" x14ac:dyDescent="0.25">
      <c r="A127" s="67"/>
      <c r="B127" s="67"/>
      <c r="C127" s="68"/>
      <c r="D127" s="69"/>
      <c r="E127" s="70"/>
      <c r="F127" s="70"/>
      <c r="G127" s="70"/>
    </row>
    <row r="128" spans="1:7" ht="15.75" x14ac:dyDescent="0.25">
      <c r="A128" s="67"/>
      <c r="B128" s="67"/>
      <c r="C128" s="68"/>
      <c r="D128" s="69"/>
      <c r="E128" s="70"/>
      <c r="F128" s="70"/>
      <c r="G128" s="70"/>
    </row>
    <row r="129" spans="1:7" ht="15.75" x14ac:dyDescent="0.25">
      <c r="A129" s="67"/>
      <c r="B129" s="67"/>
      <c r="C129" s="68"/>
      <c r="D129" s="69"/>
      <c r="E129" s="70"/>
      <c r="F129" s="70"/>
      <c r="G129" s="70"/>
    </row>
    <row r="130" spans="1:7" ht="15.75" x14ac:dyDescent="0.25">
      <c r="A130" s="67"/>
      <c r="B130" s="67"/>
      <c r="C130" s="68"/>
      <c r="D130" s="69"/>
      <c r="E130" s="70"/>
      <c r="F130" s="70"/>
      <c r="G130" s="70"/>
    </row>
    <row r="131" spans="1:7" ht="15.75" x14ac:dyDescent="0.25">
      <c r="A131" s="67"/>
      <c r="B131" s="67"/>
      <c r="C131" s="68"/>
      <c r="D131" s="69"/>
      <c r="E131" s="70"/>
      <c r="F131" s="70"/>
      <c r="G131" s="70"/>
    </row>
    <row r="132" spans="1:7" ht="15.75" x14ac:dyDescent="0.25">
      <c r="A132" s="67"/>
      <c r="B132" s="67"/>
      <c r="C132" s="68"/>
      <c r="D132" s="69"/>
      <c r="E132" s="70"/>
      <c r="F132" s="70"/>
      <c r="G132" s="70"/>
    </row>
    <row r="133" spans="1:7" ht="15.75" x14ac:dyDescent="0.25">
      <c r="A133" s="67"/>
      <c r="B133" s="67"/>
      <c r="C133" s="68"/>
      <c r="D133" s="69"/>
      <c r="E133" s="70"/>
      <c r="F133" s="70"/>
      <c r="G133" s="70"/>
    </row>
    <row r="134" spans="1:7" ht="15.75" x14ac:dyDescent="0.25">
      <c r="A134" s="67"/>
      <c r="B134" s="67"/>
      <c r="C134" s="68"/>
      <c r="D134" s="69"/>
      <c r="E134" s="70"/>
      <c r="F134" s="70"/>
      <c r="G134" s="70"/>
    </row>
    <row r="135" spans="1:7" ht="15.75" x14ac:dyDescent="0.25">
      <c r="A135" s="67"/>
      <c r="B135" s="67"/>
      <c r="C135" s="68"/>
      <c r="D135" s="69"/>
      <c r="E135" s="70"/>
      <c r="F135" s="70"/>
      <c r="G135" s="70"/>
    </row>
    <row r="136" spans="1:7" ht="15.75" x14ac:dyDescent="0.25">
      <c r="A136" s="67"/>
      <c r="B136" s="67"/>
      <c r="C136" s="68"/>
      <c r="D136" s="69"/>
      <c r="E136" s="70"/>
      <c r="F136" s="70"/>
      <c r="G136" s="70"/>
    </row>
    <row r="137" spans="1:7" ht="15.75" x14ac:dyDescent="0.25">
      <c r="A137" s="67"/>
      <c r="B137" s="67"/>
      <c r="C137" s="68"/>
      <c r="D137" s="69"/>
      <c r="E137" s="70"/>
      <c r="F137" s="70"/>
      <c r="G137" s="70"/>
    </row>
    <row r="138" spans="1:7" ht="15.75" x14ac:dyDescent="0.25">
      <c r="A138" s="67"/>
      <c r="B138" s="67"/>
      <c r="C138" s="68"/>
      <c r="D138" s="69"/>
      <c r="E138" s="70"/>
      <c r="F138" s="70"/>
      <c r="G138" s="70"/>
    </row>
    <row r="139" spans="1:7" ht="15.75" x14ac:dyDescent="0.25">
      <c r="A139" s="67"/>
      <c r="B139" s="67"/>
      <c r="C139" s="68"/>
      <c r="D139" s="69"/>
      <c r="E139" s="70"/>
      <c r="F139" s="70"/>
      <c r="G139" s="70"/>
    </row>
    <row r="140" spans="1:7" ht="15.75" x14ac:dyDescent="0.25">
      <c r="A140" s="67"/>
      <c r="B140" s="67"/>
      <c r="C140" s="68"/>
      <c r="D140" s="69"/>
      <c r="E140" s="70"/>
      <c r="F140" s="70"/>
      <c r="G140" s="70"/>
    </row>
    <row r="141" spans="1:7" ht="15.75" x14ac:dyDescent="0.25">
      <c r="A141" s="67"/>
      <c r="B141" s="67"/>
      <c r="C141" s="68"/>
      <c r="D141" s="69"/>
      <c r="E141" s="70"/>
      <c r="F141" s="70"/>
      <c r="G141" s="70"/>
    </row>
    <row r="142" spans="1:7" ht="15.75" x14ac:dyDescent="0.25">
      <c r="A142" s="67"/>
      <c r="B142" s="67"/>
      <c r="C142" s="68"/>
      <c r="D142" s="69"/>
      <c r="E142" s="70"/>
      <c r="F142" s="70"/>
      <c r="G142" s="70"/>
    </row>
    <row r="143" spans="1:7" ht="15.75" x14ac:dyDescent="0.25">
      <c r="A143" s="67"/>
      <c r="B143" s="67"/>
      <c r="C143" s="68"/>
      <c r="D143" s="69"/>
      <c r="E143" s="70"/>
      <c r="F143" s="70"/>
      <c r="G143" s="70"/>
    </row>
    <row r="144" spans="1:7" ht="15.75" x14ac:dyDescent="0.25">
      <c r="A144" s="67"/>
      <c r="B144" s="67"/>
      <c r="C144" s="68"/>
      <c r="D144" s="69"/>
      <c r="E144" s="70"/>
      <c r="F144" s="70"/>
      <c r="G144" s="70"/>
    </row>
    <row r="145" spans="1:7" ht="15.75" x14ac:dyDescent="0.25">
      <c r="A145" s="67"/>
      <c r="B145" s="67"/>
      <c r="C145" s="68"/>
      <c r="D145" s="69"/>
      <c r="E145" s="70"/>
      <c r="F145" s="70"/>
      <c r="G145" s="70"/>
    </row>
    <row r="146" spans="1:7" ht="15.75" x14ac:dyDescent="0.25">
      <c r="A146" s="67"/>
      <c r="B146" s="67"/>
      <c r="C146" s="68"/>
      <c r="D146" s="69"/>
      <c r="E146" s="70"/>
      <c r="F146" s="70"/>
      <c r="G146" s="70"/>
    </row>
    <row r="147" spans="1:7" ht="15.75" x14ac:dyDescent="0.25">
      <c r="A147" s="67"/>
      <c r="B147" s="67"/>
      <c r="C147" s="68"/>
      <c r="D147" s="69"/>
      <c r="E147" s="70"/>
      <c r="F147" s="70"/>
      <c r="G147" s="70"/>
    </row>
    <row r="148" spans="1:7" ht="15.75" x14ac:dyDescent="0.25">
      <c r="A148" s="67"/>
      <c r="B148" s="67"/>
      <c r="C148" s="68"/>
      <c r="D148" s="69"/>
      <c r="E148" s="70"/>
      <c r="F148" s="70"/>
      <c r="G148" s="70"/>
    </row>
    <row r="149" spans="1:7" ht="15.75" x14ac:dyDescent="0.25">
      <c r="A149" s="67"/>
      <c r="B149" s="67"/>
      <c r="C149" s="68"/>
      <c r="D149" s="69"/>
      <c r="E149" s="70"/>
      <c r="F149" s="70"/>
      <c r="G149" s="70"/>
    </row>
    <row r="150" spans="1:7" ht="15.75" x14ac:dyDescent="0.25">
      <c r="A150" s="67"/>
      <c r="B150" s="67"/>
      <c r="C150" s="68"/>
      <c r="D150" s="69"/>
      <c r="E150" s="70"/>
      <c r="F150" s="70"/>
      <c r="G150" s="70"/>
    </row>
    <row r="151" spans="1:7" ht="15.75" x14ac:dyDescent="0.25">
      <c r="A151" s="67"/>
      <c r="B151" s="67"/>
      <c r="C151" s="68"/>
      <c r="D151" s="69"/>
      <c r="E151" s="70"/>
      <c r="F151" s="70"/>
      <c r="G151" s="70"/>
    </row>
    <row r="152" spans="1:7" ht="15.75" x14ac:dyDescent="0.25">
      <c r="A152" s="67"/>
      <c r="B152" s="67"/>
      <c r="C152" s="68"/>
      <c r="D152" s="69"/>
      <c r="E152" s="70"/>
      <c r="F152" s="70"/>
      <c r="G152" s="70"/>
    </row>
    <row r="153" spans="1:7" ht="15.75" x14ac:dyDescent="0.25">
      <c r="A153" s="67"/>
      <c r="B153" s="67"/>
      <c r="C153" s="68"/>
      <c r="D153" s="69"/>
      <c r="E153" s="70"/>
      <c r="F153" s="70"/>
      <c r="G153" s="70"/>
    </row>
    <row r="154" spans="1:7" ht="15.75" x14ac:dyDescent="0.25">
      <c r="A154" s="67"/>
      <c r="B154" s="67"/>
      <c r="C154" s="68"/>
      <c r="D154" s="69"/>
      <c r="E154" s="70"/>
      <c r="F154" s="70"/>
      <c r="G154" s="70"/>
    </row>
    <row r="155" spans="1:7" ht="15.75" x14ac:dyDescent="0.25">
      <c r="A155" s="67"/>
      <c r="B155" s="67"/>
      <c r="C155" s="68"/>
      <c r="D155" s="69"/>
      <c r="E155" s="70"/>
      <c r="F155" s="70"/>
      <c r="G155" s="70"/>
    </row>
    <row r="156" spans="1:7" ht="15.75" x14ac:dyDescent="0.25">
      <c r="A156" s="67"/>
      <c r="B156" s="67"/>
      <c r="C156" s="68"/>
      <c r="D156" s="69"/>
      <c r="E156" s="70"/>
      <c r="F156" s="70"/>
      <c r="G156" s="70"/>
    </row>
    <row r="157" spans="1:7" ht="15.75" x14ac:dyDescent="0.25">
      <c r="A157" s="67"/>
      <c r="B157" s="67"/>
      <c r="C157" s="68"/>
      <c r="D157" s="69"/>
      <c r="E157" s="70"/>
      <c r="F157" s="70"/>
      <c r="G157" s="70"/>
    </row>
    <row r="158" spans="1:7" ht="15.75" x14ac:dyDescent="0.25">
      <c r="A158" s="67"/>
      <c r="B158" s="67"/>
      <c r="C158" s="68"/>
      <c r="D158" s="69"/>
      <c r="E158" s="70"/>
      <c r="F158" s="70"/>
      <c r="G158" s="70"/>
    </row>
    <row r="159" spans="1:7" ht="15.75" x14ac:dyDescent="0.25">
      <c r="A159" s="67"/>
      <c r="B159" s="67"/>
      <c r="C159" s="68"/>
      <c r="D159" s="69"/>
      <c r="E159" s="70"/>
      <c r="F159" s="70"/>
      <c r="G159" s="70"/>
    </row>
    <row r="160" spans="1:7" ht="15.75" x14ac:dyDescent="0.25">
      <c r="A160" s="67"/>
      <c r="B160" s="67"/>
      <c r="C160" s="68"/>
      <c r="D160" s="69"/>
      <c r="E160" s="70"/>
      <c r="F160" s="70"/>
      <c r="G160" s="70"/>
    </row>
    <row r="161" spans="1:7" ht="15.75" x14ac:dyDescent="0.25">
      <c r="A161" s="67"/>
      <c r="B161" s="67"/>
      <c r="C161" s="68"/>
      <c r="D161" s="69"/>
      <c r="E161" s="70"/>
      <c r="F161" s="70"/>
      <c r="G161" s="70"/>
    </row>
    <row r="162" spans="1:7" ht="15.75" x14ac:dyDescent="0.25">
      <c r="A162" s="67"/>
      <c r="B162" s="67"/>
      <c r="C162" s="68"/>
      <c r="D162" s="69"/>
      <c r="E162" s="70"/>
      <c r="F162" s="70"/>
      <c r="G162" s="70"/>
    </row>
    <row r="163" spans="1:7" ht="15.75" x14ac:dyDescent="0.25">
      <c r="A163" s="67"/>
      <c r="B163" s="67"/>
      <c r="C163" s="68"/>
      <c r="D163" s="69"/>
      <c r="E163" s="70"/>
      <c r="F163" s="70"/>
      <c r="G163" s="70"/>
    </row>
    <row r="164" spans="1:7" ht="15.75" x14ac:dyDescent="0.25">
      <c r="A164" s="67"/>
      <c r="B164" s="67"/>
      <c r="C164" s="68"/>
      <c r="D164" s="69"/>
      <c r="E164" s="70"/>
      <c r="F164" s="70"/>
      <c r="G164" s="70"/>
    </row>
    <row r="165" spans="1:7" ht="15.75" x14ac:dyDescent="0.25">
      <c r="A165" s="67"/>
      <c r="B165" s="67"/>
      <c r="C165" s="68"/>
      <c r="D165" s="69"/>
      <c r="E165" s="70"/>
      <c r="F165" s="70"/>
      <c r="G165" s="70"/>
    </row>
    <row r="166" spans="1:7" ht="15.75" x14ac:dyDescent="0.25">
      <c r="A166" s="67"/>
      <c r="B166" s="67"/>
      <c r="C166" s="68"/>
      <c r="D166" s="69"/>
      <c r="E166" s="70"/>
      <c r="F166" s="70"/>
      <c r="G166" s="70"/>
    </row>
    <row r="167" spans="1:7" ht="15.75" x14ac:dyDescent="0.25">
      <c r="A167" s="67"/>
      <c r="B167" s="67"/>
      <c r="C167" s="68"/>
      <c r="D167" s="69"/>
      <c r="E167" s="70"/>
      <c r="F167" s="70"/>
      <c r="G167" s="70"/>
    </row>
    <row r="168" spans="1:7" ht="15.75" x14ac:dyDescent="0.25">
      <c r="A168" s="67"/>
      <c r="B168" s="67"/>
      <c r="C168" s="68"/>
      <c r="D168" s="69"/>
      <c r="E168" s="70"/>
      <c r="F168" s="70"/>
      <c r="G168" s="70"/>
    </row>
    <row r="169" spans="1:7" ht="15.75" x14ac:dyDescent="0.25">
      <c r="A169" s="67"/>
      <c r="B169" s="67"/>
      <c r="C169" s="68"/>
      <c r="D169" s="69"/>
      <c r="E169" s="70"/>
      <c r="F169" s="70"/>
      <c r="G169" s="70"/>
    </row>
    <row r="170" spans="1:7" ht="15.75" x14ac:dyDescent="0.25">
      <c r="A170" s="67"/>
      <c r="B170" s="67"/>
      <c r="C170" s="68"/>
      <c r="D170" s="69"/>
      <c r="E170" s="70"/>
      <c r="F170" s="70"/>
      <c r="G170" s="70"/>
    </row>
    <row r="171" spans="1:7" ht="15.75" x14ac:dyDescent="0.25">
      <c r="A171" s="67"/>
      <c r="B171" s="67"/>
      <c r="C171" s="68"/>
      <c r="D171" s="69"/>
      <c r="E171" s="70"/>
      <c r="F171" s="70"/>
      <c r="G171" s="70"/>
    </row>
    <row r="172" spans="1:7" ht="15.75" x14ac:dyDescent="0.25">
      <c r="A172" s="67"/>
      <c r="B172" s="67"/>
      <c r="C172" s="68"/>
      <c r="D172" s="69"/>
      <c r="E172" s="70"/>
      <c r="F172" s="70"/>
      <c r="G172" s="70"/>
    </row>
    <row r="173" spans="1:7" ht="15.75" x14ac:dyDescent="0.25">
      <c r="A173" s="67"/>
      <c r="B173" s="67"/>
      <c r="C173" s="68"/>
      <c r="D173" s="69"/>
      <c r="E173" s="70"/>
      <c r="F173" s="70"/>
      <c r="G173" s="70"/>
    </row>
    <row r="174" spans="1:7" ht="15.75" x14ac:dyDescent="0.25">
      <c r="A174" s="67"/>
      <c r="B174" s="67"/>
      <c r="C174" s="68"/>
      <c r="D174" s="69"/>
      <c r="E174" s="70"/>
      <c r="F174" s="70"/>
      <c r="G174" s="70"/>
    </row>
    <row r="175" spans="1:7" ht="15.75" x14ac:dyDescent="0.25">
      <c r="A175" s="67"/>
      <c r="B175" s="67"/>
      <c r="C175" s="68"/>
      <c r="D175" s="69"/>
      <c r="E175" s="70"/>
      <c r="F175" s="70"/>
      <c r="G175" s="70"/>
    </row>
    <row r="176" spans="1:7" ht="15.75" x14ac:dyDescent="0.25">
      <c r="A176" s="67"/>
      <c r="B176" s="67"/>
      <c r="C176" s="68"/>
      <c r="D176" s="69"/>
      <c r="E176" s="70"/>
      <c r="F176" s="70"/>
      <c r="G176" s="70"/>
    </row>
    <row r="177" spans="1:7" ht="15.75" x14ac:dyDescent="0.25">
      <c r="A177" s="67"/>
      <c r="B177" s="67"/>
      <c r="C177" s="68"/>
      <c r="D177" s="69"/>
      <c r="E177" s="70"/>
      <c r="F177" s="70"/>
      <c r="G177" s="70"/>
    </row>
    <row r="178" spans="1:7" ht="15.75" x14ac:dyDescent="0.25">
      <c r="A178" s="67"/>
      <c r="B178" s="67"/>
      <c r="C178" s="68"/>
      <c r="D178" s="69"/>
      <c r="E178" s="70"/>
      <c r="F178" s="70"/>
      <c r="G178" s="70"/>
    </row>
    <row r="179" spans="1:7" ht="15.75" x14ac:dyDescent="0.25">
      <c r="A179" s="67"/>
      <c r="B179" s="67"/>
      <c r="C179" s="68"/>
      <c r="D179" s="69"/>
      <c r="E179" s="70"/>
      <c r="F179" s="70"/>
      <c r="G179" s="70"/>
    </row>
    <row r="180" spans="1:7" ht="15.75" x14ac:dyDescent="0.25">
      <c r="A180" s="67"/>
      <c r="B180" s="67"/>
      <c r="C180" s="68"/>
      <c r="D180" s="69"/>
      <c r="E180" s="70"/>
      <c r="F180" s="70"/>
      <c r="G180" s="70"/>
    </row>
    <row r="181" spans="1:7" ht="15.75" x14ac:dyDescent="0.25">
      <c r="A181" s="67"/>
      <c r="B181" s="67"/>
      <c r="C181" s="68"/>
      <c r="D181" s="69"/>
      <c r="E181" s="70"/>
      <c r="F181" s="70"/>
      <c r="G181" s="70"/>
    </row>
    <row r="182" spans="1:7" ht="15.75" x14ac:dyDescent="0.25">
      <c r="A182" s="67"/>
      <c r="B182" s="67"/>
      <c r="C182" s="68"/>
      <c r="D182" s="69"/>
      <c r="E182" s="70"/>
      <c r="F182" s="70"/>
      <c r="G182" s="70"/>
    </row>
    <row r="183" spans="1:7" ht="15.75" x14ac:dyDescent="0.25">
      <c r="A183" s="67"/>
      <c r="B183" s="67"/>
      <c r="C183" s="68"/>
      <c r="D183" s="69"/>
      <c r="E183" s="70"/>
      <c r="F183" s="70"/>
      <c r="G183" s="70"/>
    </row>
    <row r="184" spans="1:7" ht="15.75" x14ac:dyDescent="0.25">
      <c r="A184" s="67"/>
      <c r="B184" s="67"/>
      <c r="C184" s="68"/>
      <c r="D184" s="69"/>
      <c r="E184" s="70"/>
      <c r="F184" s="70"/>
      <c r="G184" s="70"/>
    </row>
    <row r="185" spans="1:7" ht="15.75" x14ac:dyDescent="0.25">
      <c r="A185" s="67"/>
      <c r="B185" s="67"/>
      <c r="C185" s="68"/>
      <c r="D185" s="69"/>
      <c r="E185" s="70"/>
      <c r="F185" s="70"/>
      <c r="G185" s="70"/>
    </row>
    <row r="186" spans="1:7" ht="15.75" x14ac:dyDescent="0.25">
      <c r="A186" s="67"/>
      <c r="B186" s="67"/>
      <c r="C186" s="68"/>
      <c r="D186" s="69"/>
      <c r="E186" s="70"/>
      <c r="F186" s="70"/>
      <c r="G186" s="70"/>
    </row>
    <row r="187" spans="1:7" ht="15.75" x14ac:dyDescent="0.25">
      <c r="A187" s="67"/>
      <c r="B187" s="67"/>
      <c r="C187" s="68"/>
      <c r="D187" s="69"/>
      <c r="E187" s="70"/>
      <c r="F187" s="70"/>
      <c r="G187" s="70"/>
    </row>
    <row r="188" spans="1:7" ht="15.75" x14ac:dyDescent="0.25">
      <c r="A188" s="67"/>
      <c r="B188" s="67"/>
      <c r="C188" s="68"/>
      <c r="D188" s="69"/>
      <c r="E188" s="70"/>
      <c r="F188" s="70"/>
      <c r="G188" s="70"/>
    </row>
    <row r="189" spans="1:7" ht="15.75" x14ac:dyDescent="0.25">
      <c r="A189" s="67"/>
      <c r="B189" s="67"/>
      <c r="C189" s="68"/>
      <c r="D189" s="69"/>
      <c r="E189" s="70"/>
      <c r="F189" s="70"/>
      <c r="G189" s="70"/>
    </row>
    <row r="190" spans="1:7" ht="15.75" x14ac:dyDescent="0.25">
      <c r="A190" s="67"/>
      <c r="B190" s="67"/>
      <c r="C190" s="68"/>
      <c r="D190" s="69"/>
      <c r="E190" s="70"/>
      <c r="F190" s="70"/>
      <c r="G190" s="70"/>
    </row>
    <row r="191" spans="1:7" ht="15.75" x14ac:dyDescent="0.25">
      <c r="A191" s="67"/>
      <c r="B191" s="67"/>
      <c r="C191" s="68"/>
      <c r="D191" s="69"/>
      <c r="E191" s="70"/>
      <c r="F191" s="70"/>
      <c r="G191" s="70"/>
    </row>
    <row r="192" spans="1:7" ht="15.75" x14ac:dyDescent="0.25">
      <c r="A192" s="67"/>
      <c r="B192" s="67"/>
      <c r="C192" s="68"/>
      <c r="D192" s="69"/>
      <c r="E192" s="70"/>
      <c r="F192" s="70"/>
      <c r="G192" s="70"/>
    </row>
    <row r="193" spans="1:7" ht="15.75" x14ac:dyDescent="0.25">
      <c r="A193" s="67"/>
      <c r="B193" s="67"/>
      <c r="C193" s="68"/>
      <c r="D193" s="69"/>
      <c r="E193" s="70"/>
      <c r="F193" s="70"/>
      <c r="G193" s="70"/>
    </row>
    <row r="194" spans="1:7" ht="15.75" x14ac:dyDescent="0.25">
      <c r="A194" s="67"/>
      <c r="B194" s="67"/>
      <c r="C194" s="68"/>
      <c r="D194" s="69"/>
      <c r="E194" s="70"/>
      <c r="F194" s="70"/>
      <c r="G194" s="70"/>
    </row>
    <row r="195" spans="1:7" ht="15.75" x14ac:dyDescent="0.25">
      <c r="A195" s="67"/>
      <c r="B195" s="67"/>
      <c r="C195" s="68"/>
      <c r="D195" s="69"/>
      <c r="E195" s="70"/>
      <c r="F195" s="70"/>
      <c r="G195" s="70"/>
    </row>
    <row r="196" spans="1:7" ht="15.75" x14ac:dyDescent="0.25">
      <c r="A196" s="67"/>
      <c r="B196" s="67"/>
      <c r="C196" s="68"/>
      <c r="D196" s="69"/>
      <c r="E196" s="70"/>
      <c r="F196" s="70"/>
      <c r="G196" s="70"/>
    </row>
    <row r="197" spans="1:7" ht="15.75" x14ac:dyDescent="0.25">
      <c r="A197" s="67"/>
      <c r="B197" s="67"/>
      <c r="C197" s="68"/>
      <c r="D197" s="69"/>
      <c r="E197" s="70"/>
      <c r="F197" s="70"/>
      <c r="G197" s="70"/>
    </row>
    <row r="198" spans="1:7" ht="15.75" x14ac:dyDescent="0.25">
      <c r="A198" s="67"/>
      <c r="B198" s="67"/>
      <c r="C198" s="68"/>
      <c r="D198" s="69"/>
      <c r="E198" s="70"/>
      <c r="F198" s="70"/>
      <c r="G198" s="70"/>
    </row>
    <row r="199" spans="1:7" ht="15.75" x14ac:dyDescent="0.25">
      <c r="A199" s="67"/>
      <c r="B199" s="67"/>
      <c r="C199" s="68"/>
      <c r="D199" s="69"/>
      <c r="E199" s="70"/>
      <c r="F199" s="70"/>
      <c r="G199" s="70"/>
    </row>
    <row r="200" spans="1:7" ht="15.75" x14ac:dyDescent="0.25">
      <c r="A200" s="67"/>
      <c r="B200" s="67"/>
      <c r="C200" s="68"/>
      <c r="D200" s="69"/>
      <c r="E200" s="70"/>
      <c r="F200" s="70"/>
      <c r="G200" s="70"/>
    </row>
    <row r="201" spans="1:7" ht="15.75" x14ac:dyDescent="0.25">
      <c r="A201" s="67"/>
      <c r="B201" s="67"/>
      <c r="C201" s="68"/>
      <c r="D201" s="69"/>
      <c r="E201" s="70"/>
      <c r="F201" s="70"/>
      <c r="G201" s="70"/>
    </row>
    <row r="202" spans="1:7" ht="15.75" x14ac:dyDescent="0.25">
      <c r="A202" s="67"/>
      <c r="B202" s="67"/>
      <c r="C202" s="68"/>
      <c r="D202" s="69"/>
      <c r="E202" s="70"/>
      <c r="F202" s="70"/>
      <c r="G202" s="70"/>
    </row>
    <row r="203" spans="1:7" ht="15.75" x14ac:dyDescent="0.25">
      <c r="A203" s="67"/>
      <c r="B203" s="67"/>
      <c r="C203" s="68"/>
      <c r="D203" s="69"/>
      <c r="E203" s="70"/>
      <c r="F203" s="70"/>
      <c r="G203" s="70"/>
    </row>
    <row r="204" spans="1:7" ht="15.75" x14ac:dyDescent="0.25">
      <c r="A204" s="67"/>
      <c r="B204" s="67"/>
      <c r="C204" s="68"/>
      <c r="D204" s="69"/>
      <c r="E204" s="70"/>
      <c r="F204" s="70"/>
      <c r="G204" s="70"/>
    </row>
    <row r="205" spans="1:7" ht="15.75" x14ac:dyDescent="0.25">
      <c r="A205" s="67"/>
      <c r="B205" s="67"/>
      <c r="C205" s="68"/>
      <c r="D205" s="69"/>
      <c r="E205" s="70"/>
      <c r="F205" s="70"/>
      <c r="G205" s="70"/>
    </row>
    <row r="206" spans="1:7" ht="15.75" x14ac:dyDescent="0.25">
      <c r="A206" s="67"/>
      <c r="B206" s="67"/>
      <c r="C206" s="68"/>
      <c r="D206" s="69"/>
      <c r="E206" s="70"/>
      <c r="F206" s="70"/>
      <c r="G206" s="70"/>
    </row>
    <row r="207" spans="1:7" ht="15.75" x14ac:dyDescent="0.25">
      <c r="A207" s="67"/>
      <c r="B207" s="67"/>
      <c r="C207" s="68"/>
      <c r="D207" s="69"/>
      <c r="E207" s="70"/>
      <c r="F207" s="70"/>
      <c r="G207" s="70"/>
    </row>
    <row r="208" spans="1:7" ht="15.75" x14ac:dyDescent="0.25">
      <c r="A208" s="67"/>
      <c r="B208" s="67"/>
      <c r="C208" s="68"/>
      <c r="D208" s="69"/>
      <c r="E208" s="70"/>
      <c r="F208" s="70"/>
      <c r="G208" s="70"/>
    </row>
    <row r="209" spans="1:7" ht="15.75" x14ac:dyDescent="0.25">
      <c r="A209" s="67"/>
      <c r="B209" s="67"/>
      <c r="C209" s="68"/>
      <c r="D209" s="69"/>
      <c r="E209" s="70"/>
      <c r="F209" s="70"/>
      <c r="G209" s="70"/>
    </row>
    <row r="210" spans="1:7" ht="15.75" x14ac:dyDescent="0.25">
      <c r="A210" s="67"/>
      <c r="B210" s="67"/>
      <c r="C210" s="68"/>
      <c r="D210" s="69"/>
      <c r="E210" s="70"/>
      <c r="F210" s="70"/>
      <c r="G210" s="70"/>
    </row>
    <row r="211" spans="1:7" ht="15.75" x14ac:dyDescent="0.25">
      <c r="A211" s="67"/>
      <c r="B211" s="67"/>
      <c r="C211" s="68"/>
      <c r="D211" s="69"/>
      <c r="E211" s="70"/>
      <c r="F211" s="70"/>
      <c r="G211" s="70"/>
    </row>
    <row r="212" spans="1:7" ht="15.75" x14ac:dyDescent="0.25">
      <c r="A212" s="67"/>
      <c r="B212" s="67"/>
      <c r="C212" s="68"/>
      <c r="D212" s="69"/>
      <c r="E212" s="70"/>
      <c r="F212" s="70"/>
      <c r="G212" s="70"/>
    </row>
    <row r="213" spans="1:7" ht="15.75" x14ac:dyDescent="0.25">
      <c r="A213" s="67"/>
      <c r="B213" s="67"/>
      <c r="C213" s="68"/>
      <c r="D213" s="69"/>
      <c r="E213" s="70"/>
      <c r="F213" s="70"/>
      <c r="G213" s="70"/>
    </row>
    <row r="214" spans="1:7" ht="15.75" x14ac:dyDescent="0.25">
      <c r="A214" s="67"/>
      <c r="B214" s="67"/>
      <c r="C214" s="68"/>
      <c r="D214" s="69"/>
      <c r="E214" s="70"/>
      <c r="F214" s="70"/>
      <c r="G214" s="70"/>
    </row>
    <row r="215" spans="1:7" ht="15.75" x14ac:dyDescent="0.25">
      <c r="A215" s="67"/>
      <c r="B215" s="67"/>
      <c r="C215" s="68"/>
      <c r="D215" s="69"/>
      <c r="E215" s="70"/>
      <c r="F215" s="70"/>
      <c r="G215" s="70"/>
    </row>
    <row r="216" spans="1:7" ht="15.75" x14ac:dyDescent="0.25">
      <c r="A216" s="67"/>
      <c r="B216" s="67"/>
      <c r="C216" s="68"/>
      <c r="D216" s="69"/>
      <c r="E216" s="70"/>
      <c r="F216" s="70"/>
      <c r="G216" s="70"/>
    </row>
    <row r="217" spans="1:7" ht="15.75" x14ac:dyDescent="0.25">
      <c r="A217" s="67"/>
      <c r="B217" s="67"/>
      <c r="C217" s="68"/>
      <c r="D217" s="69"/>
      <c r="E217" s="70"/>
      <c r="F217" s="70"/>
      <c r="G217" s="70"/>
    </row>
    <row r="218" spans="1:7" ht="15.75" x14ac:dyDescent="0.25">
      <c r="A218" s="67"/>
      <c r="B218" s="67"/>
      <c r="C218" s="68"/>
      <c r="D218" s="69"/>
      <c r="E218" s="70"/>
      <c r="F218" s="70"/>
      <c r="G218" s="70"/>
    </row>
    <row r="219" spans="1:7" ht="15.75" x14ac:dyDescent="0.25">
      <c r="A219" s="67"/>
      <c r="B219" s="67"/>
      <c r="C219" s="68"/>
      <c r="D219" s="69"/>
      <c r="E219" s="70"/>
      <c r="F219" s="70"/>
      <c r="G219" s="70"/>
    </row>
    <row r="220" spans="1:7" ht="15.75" x14ac:dyDescent="0.25">
      <c r="A220" s="67"/>
      <c r="B220" s="67"/>
      <c r="C220" s="68"/>
      <c r="D220" s="69"/>
      <c r="E220" s="70"/>
      <c r="F220" s="70"/>
      <c r="G220" s="70"/>
    </row>
    <row r="221" spans="1:7" ht="15.75" x14ac:dyDescent="0.25">
      <c r="A221" s="67"/>
      <c r="B221" s="67"/>
      <c r="C221" s="68"/>
      <c r="D221" s="69"/>
      <c r="E221" s="70"/>
      <c r="F221" s="70"/>
      <c r="G221" s="70"/>
    </row>
    <row r="222" spans="1:7" ht="15.75" x14ac:dyDescent="0.25">
      <c r="A222" s="67"/>
      <c r="B222" s="67"/>
      <c r="C222" s="68"/>
      <c r="D222" s="69"/>
      <c r="E222" s="70"/>
      <c r="F222" s="70"/>
      <c r="G222" s="70"/>
    </row>
    <row r="223" spans="1:7" ht="15.75" x14ac:dyDescent="0.25">
      <c r="A223" s="67"/>
      <c r="B223" s="67"/>
      <c r="C223" s="68"/>
      <c r="D223" s="69"/>
      <c r="E223" s="70"/>
      <c r="F223" s="70"/>
      <c r="G223" s="70"/>
    </row>
    <row r="224" spans="1:7" ht="15.75" x14ac:dyDescent="0.25">
      <c r="A224" s="67"/>
      <c r="B224" s="67"/>
      <c r="C224" s="68"/>
      <c r="D224" s="69"/>
      <c r="E224" s="70"/>
      <c r="F224" s="70"/>
      <c r="G224" s="70"/>
    </row>
    <row r="225" spans="1:7" ht="15.75" x14ac:dyDescent="0.25">
      <c r="A225" s="67"/>
      <c r="B225" s="67"/>
      <c r="C225" s="68"/>
      <c r="D225" s="69"/>
      <c r="E225" s="70"/>
      <c r="F225" s="70"/>
      <c r="G225" s="70"/>
    </row>
    <row r="226" spans="1:7" ht="15.75" x14ac:dyDescent="0.25">
      <c r="A226" s="67"/>
      <c r="B226" s="67"/>
      <c r="C226" s="68"/>
      <c r="D226" s="69"/>
      <c r="E226" s="70"/>
      <c r="F226" s="70"/>
      <c r="G226" s="70"/>
    </row>
    <row r="227" spans="1:7" ht="15.75" x14ac:dyDescent="0.25">
      <c r="A227" s="67"/>
      <c r="B227" s="67"/>
      <c r="C227" s="68"/>
      <c r="D227" s="69"/>
      <c r="E227" s="70"/>
      <c r="F227" s="70"/>
      <c r="G227" s="70"/>
    </row>
    <row r="228" spans="1:7" ht="15.75" x14ac:dyDescent="0.25">
      <c r="A228" s="67"/>
      <c r="B228" s="67"/>
      <c r="C228" s="68"/>
      <c r="D228" s="69"/>
      <c r="E228" s="70"/>
      <c r="F228" s="70"/>
      <c r="G228" s="70"/>
    </row>
    <row r="229" spans="1:7" ht="15.75" x14ac:dyDescent="0.25">
      <c r="A229" s="67"/>
      <c r="B229" s="67"/>
      <c r="C229" s="68"/>
      <c r="D229" s="69"/>
      <c r="E229" s="70"/>
      <c r="F229" s="70"/>
      <c r="G229" s="70"/>
    </row>
    <row r="230" spans="1:7" ht="15.75" x14ac:dyDescent="0.25">
      <c r="A230" s="67"/>
      <c r="B230" s="67"/>
      <c r="C230" s="68"/>
      <c r="D230" s="69"/>
      <c r="E230" s="70"/>
      <c r="F230" s="70"/>
      <c r="G230" s="70"/>
    </row>
    <row r="231" spans="1:7" ht="15.75" x14ac:dyDescent="0.25">
      <c r="A231" s="67"/>
      <c r="B231" s="67"/>
      <c r="C231" s="68"/>
      <c r="D231" s="69"/>
      <c r="E231" s="70"/>
      <c r="F231" s="70"/>
      <c r="G231" s="70"/>
    </row>
    <row r="232" spans="1:7" ht="15.75" x14ac:dyDescent="0.25">
      <c r="A232" s="67"/>
      <c r="B232" s="67"/>
      <c r="C232" s="68"/>
      <c r="D232" s="69"/>
      <c r="E232" s="70"/>
      <c r="F232" s="70"/>
      <c r="G232" s="70"/>
    </row>
    <row r="233" spans="1:7" ht="15.75" x14ac:dyDescent="0.25">
      <c r="A233" s="67"/>
      <c r="B233" s="67"/>
      <c r="C233" s="68"/>
      <c r="D233" s="69"/>
      <c r="E233" s="70"/>
      <c r="F233" s="70"/>
      <c r="G233" s="70"/>
    </row>
    <row r="234" spans="1:7" ht="15.75" x14ac:dyDescent="0.25">
      <c r="A234" s="67"/>
      <c r="B234" s="67"/>
      <c r="C234" s="68"/>
      <c r="D234" s="69"/>
      <c r="E234" s="70"/>
      <c r="F234" s="70"/>
      <c r="G234" s="70"/>
    </row>
    <row r="235" spans="1:7" ht="15.75" x14ac:dyDescent="0.25">
      <c r="A235" s="67"/>
      <c r="B235" s="67"/>
      <c r="C235" s="68"/>
      <c r="D235" s="69"/>
      <c r="E235" s="70"/>
      <c r="F235" s="70"/>
      <c r="G235" s="70"/>
    </row>
    <row r="236" spans="1:7" ht="15.75" x14ac:dyDescent="0.25">
      <c r="A236" s="67"/>
      <c r="B236" s="67"/>
      <c r="C236" s="68"/>
      <c r="D236" s="69"/>
      <c r="E236" s="70"/>
      <c r="F236" s="70"/>
      <c r="G236" s="70"/>
    </row>
    <row r="237" spans="1:7" ht="15.75" x14ac:dyDescent="0.25">
      <c r="A237" s="67"/>
      <c r="B237" s="67"/>
      <c r="C237" s="68"/>
      <c r="D237" s="69"/>
      <c r="E237" s="70"/>
      <c r="F237" s="70"/>
      <c r="G237" s="70"/>
    </row>
    <row r="238" spans="1:7" ht="15.75" x14ac:dyDescent="0.25">
      <c r="A238" s="67"/>
      <c r="B238" s="67"/>
      <c r="C238" s="68"/>
      <c r="D238" s="69"/>
      <c r="E238" s="70"/>
      <c r="F238" s="70"/>
      <c r="G238" s="70"/>
    </row>
    <row r="239" spans="1:7" ht="15.75" x14ac:dyDescent="0.25">
      <c r="A239" s="67"/>
      <c r="B239" s="67"/>
      <c r="C239" s="68"/>
      <c r="D239" s="69"/>
      <c r="E239" s="70"/>
      <c r="F239" s="70"/>
      <c r="G239" s="70"/>
    </row>
    <row r="240" spans="1:7" ht="15.75" x14ac:dyDescent="0.25">
      <c r="A240" s="67"/>
      <c r="B240" s="67"/>
      <c r="C240" s="68"/>
      <c r="D240" s="69"/>
      <c r="E240" s="70"/>
      <c r="F240" s="70"/>
      <c r="G240" s="70"/>
    </row>
    <row r="241" spans="1:7" ht="15.75" x14ac:dyDescent="0.25">
      <c r="A241" s="67"/>
      <c r="B241" s="67"/>
      <c r="C241" s="68"/>
      <c r="D241" s="69"/>
      <c r="E241" s="70"/>
      <c r="F241" s="70"/>
      <c r="G241" s="70"/>
    </row>
    <row r="242" spans="1:7" ht="15.75" x14ac:dyDescent="0.25">
      <c r="A242" s="67"/>
      <c r="B242" s="67"/>
      <c r="C242" s="68"/>
      <c r="D242" s="69"/>
      <c r="E242" s="70"/>
      <c r="F242" s="70"/>
      <c r="G242" s="70"/>
    </row>
    <row r="243" spans="1:7" ht="15.75" x14ac:dyDescent="0.25">
      <c r="A243" s="67"/>
      <c r="B243" s="67"/>
      <c r="C243" s="68"/>
      <c r="D243" s="69"/>
      <c r="E243" s="70"/>
      <c r="F243" s="70"/>
      <c r="G243" s="70"/>
    </row>
    <row r="244" spans="1:7" ht="15.75" x14ac:dyDescent="0.25">
      <c r="A244" s="67"/>
      <c r="B244" s="67"/>
      <c r="C244" s="68"/>
      <c r="D244" s="69"/>
      <c r="E244" s="70"/>
      <c r="F244" s="70"/>
      <c r="G244" s="70"/>
    </row>
    <row r="245" spans="1:7" ht="15.75" x14ac:dyDescent="0.25">
      <c r="A245" s="67"/>
      <c r="B245" s="67"/>
      <c r="C245" s="68"/>
      <c r="D245" s="69"/>
      <c r="E245" s="70"/>
      <c r="F245" s="70"/>
      <c r="G245" s="70"/>
    </row>
    <row r="246" spans="1:7" ht="15.75" x14ac:dyDescent="0.25">
      <c r="A246" s="67"/>
      <c r="B246" s="67"/>
      <c r="C246" s="68"/>
      <c r="D246" s="69"/>
      <c r="E246" s="70"/>
      <c r="F246" s="70"/>
      <c r="G246" s="70"/>
    </row>
    <row r="247" spans="1:7" ht="15.75" x14ac:dyDescent="0.25">
      <c r="A247" s="67"/>
      <c r="B247" s="67"/>
      <c r="C247" s="68"/>
      <c r="D247" s="69"/>
      <c r="E247" s="70"/>
      <c r="F247" s="70"/>
      <c r="G247" s="70"/>
    </row>
    <row r="248" spans="1:7" ht="15.75" x14ac:dyDescent="0.25">
      <c r="A248" s="67"/>
      <c r="B248" s="67"/>
      <c r="C248" s="68"/>
      <c r="D248" s="69"/>
      <c r="E248" s="70"/>
      <c r="F248" s="70"/>
      <c r="G248" s="70"/>
    </row>
    <row r="249" spans="1:7" ht="15.75" x14ac:dyDescent="0.25">
      <c r="A249" s="67"/>
      <c r="B249" s="67"/>
      <c r="C249" s="68"/>
      <c r="D249" s="69"/>
      <c r="E249" s="70"/>
      <c r="F249" s="70"/>
      <c r="G249" s="70"/>
    </row>
    <row r="250" spans="1:7" ht="15.75" x14ac:dyDescent="0.25">
      <c r="A250" s="67"/>
      <c r="B250" s="67"/>
      <c r="C250" s="68"/>
      <c r="D250" s="69"/>
      <c r="E250" s="70"/>
      <c r="F250" s="70"/>
      <c r="G250" s="70"/>
    </row>
    <row r="251" spans="1:7" ht="15.75" x14ac:dyDescent="0.25">
      <c r="A251" s="67"/>
      <c r="B251" s="67"/>
      <c r="C251" s="68"/>
      <c r="D251" s="69"/>
      <c r="E251" s="70"/>
      <c r="F251" s="70"/>
      <c r="G251" s="70"/>
    </row>
    <row r="252" spans="1:7" ht="15.75" x14ac:dyDescent="0.25">
      <c r="A252" s="67"/>
      <c r="B252" s="67"/>
      <c r="C252" s="68"/>
      <c r="D252" s="69"/>
      <c r="E252" s="70"/>
      <c r="F252" s="70"/>
      <c r="G252" s="70"/>
    </row>
    <row r="253" spans="1:7" ht="15.75" x14ac:dyDescent="0.25">
      <c r="A253" s="67"/>
      <c r="B253" s="67"/>
      <c r="C253" s="68"/>
      <c r="D253" s="69"/>
      <c r="E253" s="70"/>
      <c r="F253" s="70"/>
      <c r="G253" s="70"/>
    </row>
    <row r="254" spans="1:7" ht="15.75" x14ac:dyDescent="0.25">
      <c r="A254" s="67"/>
      <c r="B254" s="67"/>
      <c r="C254" s="68"/>
      <c r="D254" s="69"/>
      <c r="E254" s="70"/>
      <c r="F254" s="70"/>
      <c r="G254" s="70"/>
    </row>
    <row r="255" spans="1:7" ht="15.75" x14ac:dyDescent="0.25">
      <c r="A255" s="67"/>
      <c r="B255" s="67"/>
      <c r="C255" s="68"/>
      <c r="D255" s="69"/>
      <c r="E255" s="70"/>
      <c r="F255" s="70"/>
      <c r="G255" s="70"/>
    </row>
    <row r="256" spans="1:7" ht="15.75" x14ac:dyDescent="0.25">
      <c r="A256" s="67"/>
      <c r="B256" s="67"/>
      <c r="C256" s="68"/>
      <c r="D256" s="69"/>
      <c r="E256" s="70"/>
      <c r="F256" s="70"/>
      <c r="G256" s="70"/>
    </row>
    <row r="257" spans="1:7" ht="15.75" x14ac:dyDescent="0.25">
      <c r="A257" s="67"/>
      <c r="B257" s="67"/>
      <c r="C257" s="68"/>
      <c r="D257" s="69"/>
      <c r="E257" s="70"/>
      <c r="F257" s="70"/>
      <c r="G257" s="70"/>
    </row>
    <row r="258" spans="1:7" ht="15.75" x14ac:dyDescent="0.25">
      <c r="A258" s="67"/>
      <c r="B258" s="67"/>
      <c r="C258" s="68"/>
      <c r="D258" s="69"/>
      <c r="E258" s="70"/>
      <c r="F258" s="70"/>
      <c r="G258" s="70"/>
    </row>
    <row r="259" spans="1:7" ht="15.75" x14ac:dyDescent="0.25">
      <c r="A259" s="67"/>
      <c r="B259" s="67"/>
      <c r="C259" s="68"/>
      <c r="D259" s="69"/>
      <c r="E259" s="70"/>
      <c r="F259" s="70"/>
      <c r="G259" s="70"/>
    </row>
    <row r="260" spans="1:7" ht="15.75" x14ac:dyDescent="0.25">
      <c r="A260" s="67"/>
      <c r="B260" s="67"/>
      <c r="C260" s="68"/>
      <c r="D260" s="69"/>
      <c r="E260" s="70"/>
      <c r="F260" s="70"/>
      <c r="G260" s="70"/>
    </row>
    <row r="261" spans="1:7" ht="15.75" x14ac:dyDescent="0.25">
      <c r="A261" s="67"/>
      <c r="B261" s="67"/>
      <c r="C261" s="68"/>
      <c r="D261" s="69"/>
      <c r="E261" s="70"/>
      <c r="F261" s="70"/>
      <c r="G261" s="70"/>
    </row>
    <row r="262" spans="1:7" ht="15.75" x14ac:dyDescent="0.25">
      <c r="A262" s="67"/>
      <c r="B262" s="67"/>
      <c r="C262" s="68"/>
      <c r="D262" s="69"/>
      <c r="E262" s="70"/>
      <c r="F262" s="70"/>
      <c r="G262" s="70"/>
    </row>
    <row r="263" spans="1:7" ht="15.75" x14ac:dyDescent="0.25">
      <c r="A263" s="67"/>
      <c r="B263" s="67"/>
      <c r="C263" s="68"/>
      <c r="D263" s="69"/>
      <c r="E263" s="70"/>
      <c r="F263" s="70"/>
      <c r="G263" s="70"/>
    </row>
    <row r="264" spans="1:7" ht="15.75" x14ac:dyDescent="0.25">
      <c r="A264" s="67"/>
      <c r="B264" s="67"/>
      <c r="C264" s="68"/>
      <c r="D264" s="69"/>
      <c r="E264" s="70"/>
      <c r="F264" s="70"/>
      <c r="G264" s="70"/>
    </row>
    <row r="265" spans="1:7" ht="15.75" x14ac:dyDescent="0.25">
      <c r="A265" s="67"/>
      <c r="B265" s="67"/>
      <c r="C265" s="68"/>
      <c r="D265" s="69"/>
      <c r="E265" s="70"/>
      <c r="F265" s="70"/>
      <c r="G265" s="70"/>
    </row>
    <row r="266" spans="1:7" ht="15.75" x14ac:dyDescent="0.25">
      <c r="A266" s="67"/>
      <c r="B266" s="67"/>
      <c r="C266" s="68"/>
      <c r="D266" s="69"/>
      <c r="E266" s="70"/>
      <c r="F266" s="70"/>
      <c r="G266" s="70"/>
    </row>
    <row r="267" spans="1:7" ht="15.75" x14ac:dyDescent="0.25">
      <c r="A267" s="67"/>
      <c r="B267" s="67"/>
      <c r="C267" s="68"/>
      <c r="D267" s="69"/>
      <c r="E267" s="70"/>
      <c r="F267" s="70"/>
      <c r="G267" s="70"/>
    </row>
    <row r="268" spans="1:7" ht="15.75" x14ac:dyDescent="0.25">
      <c r="A268" s="67"/>
      <c r="B268" s="67"/>
      <c r="C268" s="68"/>
      <c r="D268" s="69"/>
      <c r="E268" s="70"/>
      <c r="F268" s="70"/>
      <c r="G268" s="70"/>
    </row>
    <row r="269" spans="1:7" ht="15.75" x14ac:dyDescent="0.25">
      <c r="A269" s="67"/>
      <c r="B269" s="67"/>
      <c r="C269" s="68"/>
      <c r="D269" s="69"/>
      <c r="E269" s="70"/>
      <c r="F269" s="70"/>
      <c r="G269" s="70"/>
    </row>
    <row r="270" spans="1:7" ht="15.75" x14ac:dyDescent="0.25">
      <c r="A270" s="67"/>
      <c r="B270" s="67"/>
      <c r="C270" s="68"/>
      <c r="D270" s="69"/>
      <c r="E270" s="70"/>
      <c r="F270" s="70"/>
      <c r="G270" s="70"/>
    </row>
    <row r="271" spans="1:7" ht="15.75" x14ac:dyDescent="0.25">
      <c r="A271" s="67"/>
      <c r="B271" s="67"/>
      <c r="C271" s="68"/>
      <c r="D271" s="69"/>
      <c r="E271" s="70"/>
      <c r="F271" s="70"/>
      <c r="G271" s="70"/>
    </row>
    <row r="272" spans="1:7" ht="15.75" x14ac:dyDescent="0.25">
      <c r="A272" s="67"/>
      <c r="B272" s="67"/>
      <c r="C272" s="68"/>
      <c r="D272" s="69"/>
      <c r="E272" s="70"/>
      <c r="F272" s="70"/>
      <c r="G272" s="70"/>
    </row>
    <row r="273" spans="1:7" ht="15.75" x14ac:dyDescent="0.25">
      <c r="A273" s="67"/>
      <c r="B273" s="67"/>
      <c r="C273" s="68"/>
      <c r="D273" s="69"/>
      <c r="E273" s="70"/>
      <c r="F273" s="70"/>
      <c r="G273" s="70"/>
    </row>
    <row r="274" spans="1:7" ht="15.75" x14ac:dyDescent="0.25">
      <c r="A274" s="67"/>
      <c r="B274" s="67"/>
      <c r="C274" s="68"/>
      <c r="D274" s="69"/>
      <c r="E274" s="70"/>
      <c r="F274" s="70"/>
      <c r="G274" s="70"/>
    </row>
    <row r="275" spans="1:7" ht="15.75" x14ac:dyDescent="0.25">
      <c r="A275" s="67"/>
      <c r="B275" s="67"/>
      <c r="C275" s="68"/>
      <c r="D275" s="69"/>
      <c r="E275" s="70"/>
      <c r="F275" s="70"/>
      <c r="G275" s="70"/>
    </row>
    <row r="276" spans="1:7" ht="15.75" x14ac:dyDescent="0.25">
      <c r="A276" s="67"/>
      <c r="B276" s="67"/>
      <c r="C276" s="68"/>
      <c r="D276" s="69"/>
      <c r="E276" s="70"/>
      <c r="F276" s="70"/>
      <c r="G276" s="70"/>
    </row>
    <row r="277" spans="1:7" ht="15.75" x14ac:dyDescent="0.25">
      <c r="A277" s="67"/>
      <c r="B277" s="67"/>
      <c r="C277" s="68"/>
      <c r="D277" s="69"/>
      <c r="E277" s="70"/>
      <c r="F277" s="70"/>
      <c r="G277" s="70"/>
    </row>
    <row r="278" spans="1:7" ht="15.75" x14ac:dyDescent="0.25">
      <c r="A278" s="67"/>
      <c r="B278" s="67"/>
      <c r="C278" s="68"/>
      <c r="D278" s="69"/>
      <c r="E278" s="70"/>
      <c r="F278" s="70"/>
      <c r="G278" s="70"/>
    </row>
    <row r="279" spans="1:7" ht="15.75" x14ac:dyDescent="0.25">
      <c r="A279" s="67"/>
      <c r="B279" s="67"/>
      <c r="C279" s="68"/>
      <c r="D279" s="69"/>
      <c r="E279" s="70"/>
      <c r="F279" s="70"/>
      <c r="G279" s="70"/>
    </row>
    <row r="280" spans="1:7" ht="15.75" x14ac:dyDescent="0.25">
      <c r="A280" s="67"/>
      <c r="B280" s="67"/>
      <c r="C280" s="68"/>
      <c r="D280" s="69"/>
      <c r="E280" s="70"/>
      <c r="F280" s="70"/>
      <c r="G280" s="70"/>
    </row>
    <row r="281" spans="1:7" ht="15.75" x14ac:dyDescent="0.25">
      <c r="A281" s="67"/>
      <c r="B281" s="67"/>
      <c r="C281" s="68"/>
      <c r="D281" s="69"/>
      <c r="E281" s="70"/>
      <c r="F281" s="70"/>
      <c r="G281" s="70"/>
    </row>
    <row r="282" spans="1:7" ht="15.75" x14ac:dyDescent="0.25">
      <c r="A282" s="67"/>
      <c r="B282" s="67"/>
      <c r="C282" s="68"/>
      <c r="D282" s="69"/>
      <c r="E282" s="70"/>
      <c r="F282" s="70"/>
      <c r="G282" s="70"/>
    </row>
    <row r="283" spans="1:7" ht="15.75" x14ac:dyDescent="0.25">
      <c r="A283" s="67"/>
      <c r="B283" s="67"/>
      <c r="C283" s="68"/>
      <c r="D283" s="69"/>
      <c r="E283" s="70"/>
      <c r="F283" s="70"/>
      <c r="G283" s="70"/>
    </row>
    <row r="284" spans="1:7" ht="15.75" x14ac:dyDescent="0.25">
      <c r="A284" s="67"/>
      <c r="B284" s="67"/>
      <c r="C284" s="68"/>
      <c r="D284" s="69"/>
      <c r="E284" s="70"/>
      <c r="F284" s="70"/>
      <c r="G284" s="70"/>
    </row>
    <row r="285" spans="1:7" ht="15.75" x14ac:dyDescent="0.25">
      <c r="A285" s="67"/>
      <c r="B285" s="67"/>
      <c r="C285" s="68"/>
      <c r="D285" s="69"/>
      <c r="E285" s="70"/>
      <c r="F285" s="70"/>
      <c r="G285" s="70"/>
    </row>
    <row r="286" spans="1:7" ht="15.75" x14ac:dyDescent="0.25">
      <c r="A286" s="67"/>
      <c r="B286" s="67"/>
      <c r="C286" s="68"/>
      <c r="D286" s="69"/>
      <c r="E286" s="70"/>
      <c r="F286" s="70"/>
      <c r="G286" s="70"/>
    </row>
    <row r="287" spans="1:7" ht="15.75" x14ac:dyDescent="0.25">
      <c r="A287" s="67"/>
      <c r="B287" s="67"/>
      <c r="C287" s="68"/>
      <c r="D287" s="69"/>
      <c r="E287" s="70"/>
      <c r="F287" s="70"/>
      <c r="G287" s="70"/>
    </row>
    <row r="288" spans="1:7" ht="15.75" x14ac:dyDescent="0.25">
      <c r="A288" s="67"/>
      <c r="B288" s="67"/>
      <c r="C288" s="68"/>
      <c r="D288" s="69"/>
      <c r="E288" s="70"/>
      <c r="F288" s="70"/>
      <c r="G288" s="70"/>
    </row>
    <row r="289" spans="1:7" ht="15.75" x14ac:dyDescent="0.25">
      <c r="A289" s="67"/>
      <c r="B289" s="67"/>
      <c r="C289" s="68"/>
      <c r="D289" s="69"/>
      <c r="E289" s="70"/>
      <c r="F289" s="70"/>
      <c r="G289" s="70"/>
    </row>
    <row r="290" spans="1:7" ht="15.75" x14ac:dyDescent="0.25">
      <c r="A290" s="67"/>
      <c r="B290" s="67"/>
      <c r="C290" s="68"/>
      <c r="D290" s="69"/>
      <c r="E290" s="70"/>
      <c r="F290" s="70"/>
      <c r="G290" s="70"/>
    </row>
    <row r="291" spans="1:7" ht="15.75" x14ac:dyDescent="0.25">
      <c r="A291" s="67"/>
      <c r="B291" s="67"/>
      <c r="C291" s="68"/>
      <c r="D291" s="69"/>
      <c r="E291" s="70"/>
      <c r="F291" s="70"/>
      <c r="G291" s="70"/>
    </row>
    <row r="292" spans="1:7" ht="15.75" x14ac:dyDescent="0.25">
      <c r="A292" s="67"/>
      <c r="B292" s="67"/>
      <c r="C292" s="68"/>
      <c r="D292" s="69"/>
      <c r="E292" s="70"/>
      <c r="F292" s="70"/>
      <c r="G292" s="70"/>
    </row>
    <row r="293" spans="1:7" ht="15.75" x14ac:dyDescent="0.25">
      <c r="A293" s="67"/>
      <c r="B293" s="67"/>
      <c r="C293" s="68"/>
      <c r="D293" s="69"/>
      <c r="E293" s="70"/>
      <c r="F293" s="70"/>
      <c r="G293" s="70"/>
    </row>
    <row r="294" spans="1:7" ht="15.75" x14ac:dyDescent="0.25">
      <c r="A294" s="67"/>
      <c r="B294" s="67"/>
      <c r="C294" s="68"/>
      <c r="D294" s="69"/>
      <c r="E294" s="70"/>
      <c r="F294" s="70"/>
      <c r="G294" s="70"/>
    </row>
    <row r="295" spans="1:7" ht="15.75" x14ac:dyDescent="0.25">
      <c r="A295" s="67"/>
      <c r="B295" s="67"/>
      <c r="C295" s="68"/>
      <c r="D295" s="69"/>
      <c r="E295" s="70"/>
      <c r="F295" s="70"/>
      <c r="G295" s="70"/>
    </row>
    <row r="296" spans="1:7" ht="15.75" x14ac:dyDescent="0.25">
      <c r="A296" s="67"/>
      <c r="B296" s="67"/>
      <c r="C296" s="68"/>
      <c r="D296" s="69"/>
      <c r="E296" s="70"/>
      <c r="F296" s="70"/>
      <c r="G296" s="70"/>
    </row>
    <row r="297" spans="1:7" ht="15.75" x14ac:dyDescent="0.25">
      <c r="A297" s="67"/>
      <c r="B297" s="67"/>
      <c r="C297" s="68"/>
      <c r="D297" s="69"/>
      <c r="E297" s="70"/>
      <c r="F297" s="70"/>
      <c r="G297" s="70"/>
    </row>
    <row r="298" spans="1:7" ht="15.75" x14ac:dyDescent="0.25">
      <c r="A298" s="67"/>
      <c r="B298" s="67"/>
      <c r="C298" s="68"/>
      <c r="D298" s="69"/>
      <c r="E298" s="70"/>
      <c r="F298" s="70"/>
      <c r="G298" s="70"/>
    </row>
    <row r="299" spans="1:7" ht="15.75" x14ac:dyDescent="0.25">
      <c r="A299" s="67"/>
      <c r="B299" s="67"/>
      <c r="C299" s="68"/>
      <c r="D299" s="69"/>
      <c r="E299" s="70"/>
      <c r="F299" s="70"/>
      <c r="G299" s="70"/>
    </row>
    <row r="300" spans="1:7" ht="15.75" x14ac:dyDescent="0.25">
      <c r="A300" s="67"/>
      <c r="B300" s="67"/>
      <c r="C300" s="68"/>
      <c r="D300" s="69"/>
      <c r="E300" s="70"/>
      <c r="F300" s="70"/>
      <c r="G300" s="70"/>
    </row>
    <row r="301" spans="1:7" ht="15.75" x14ac:dyDescent="0.25">
      <c r="A301" s="67"/>
      <c r="B301" s="67"/>
      <c r="C301" s="68"/>
      <c r="D301" s="69"/>
      <c r="E301" s="70"/>
      <c r="F301" s="70"/>
      <c r="G301" s="70"/>
    </row>
    <row r="302" spans="1:7" ht="15.75" x14ac:dyDescent="0.25">
      <c r="A302" s="67"/>
      <c r="B302" s="67"/>
      <c r="C302" s="68"/>
      <c r="D302" s="69"/>
      <c r="E302" s="70"/>
      <c r="F302" s="70"/>
      <c r="G302" s="70"/>
    </row>
    <row r="303" spans="1:7" ht="15.75" x14ac:dyDescent="0.25">
      <c r="A303" s="67"/>
      <c r="B303" s="67"/>
      <c r="C303" s="68"/>
      <c r="D303" s="69"/>
      <c r="E303" s="70"/>
      <c r="F303" s="70"/>
      <c r="G303" s="70"/>
    </row>
    <row r="304" spans="1:7" ht="15.75" x14ac:dyDescent="0.25">
      <c r="A304" s="67"/>
      <c r="B304" s="67"/>
      <c r="C304" s="68"/>
      <c r="D304" s="69"/>
      <c r="E304" s="70"/>
      <c r="F304" s="70"/>
      <c r="G304" s="70"/>
    </row>
    <row r="305" spans="1:7" ht="15.75" x14ac:dyDescent="0.25">
      <c r="A305" s="67"/>
      <c r="B305" s="67"/>
      <c r="C305" s="68"/>
      <c r="D305" s="69"/>
      <c r="E305" s="70"/>
      <c r="F305" s="70"/>
      <c r="G305" s="70"/>
    </row>
    <row r="306" spans="1:7" ht="15.75" x14ac:dyDescent="0.25">
      <c r="A306" s="67"/>
      <c r="B306" s="67"/>
      <c r="C306" s="68"/>
      <c r="D306" s="69"/>
      <c r="E306" s="70"/>
      <c r="F306" s="70"/>
      <c r="G306" s="70"/>
    </row>
    <row r="307" spans="1:7" ht="15.75" x14ac:dyDescent="0.25">
      <c r="A307" s="67"/>
      <c r="B307" s="67"/>
      <c r="C307" s="68"/>
      <c r="D307" s="69"/>
      <c r="E307" s="70"/>
      <c r="F307" s="70"/>
      <c r="G307" s="70"/>
    </row>
    <row r="308" spans="1:7" ht="15.75" x14ac:dyDescent="0.25">
      <c r="A308" s="67"/>
      <c r="B308" s="67"/>
      <c r="C308" s="68"/>
      <c r="D308" s="69"/>
      <c r="E308" s="70"/>
      <c r="F308" s="70"/>
      <c r="G308" s="70"/>
    </row>
    <row r="309" spans="1:7" ht="15.75" x14ac:dyDescent="0.25">
      <c r="A309" s="67"/>
      <c r="B309" s="67"/>
      <c r="C309" s="68"/>
      <c r="D309" s="69"/>
      <c r="E309" s="70"/>
      <c r="F309" s="70"/>
      <c r="G309" s="70"/>
    </row>
    <row r="310" spans="1:7" ht="15.75" x14ac:dyDescent="0.25">
      <c r="A310" s="67"/>
      <c r="B310" s="67"/>
      <c r="C310" s="68"/>
      <c r="D310" s="69"/>
      <c r="E310" s="70"/>
      <c r="F310" s="70"/>
      <c r="G310" s="70"/>
    </row>
    <row r="311" spans="1:7" ht="15.75" x14ac:dyDescent="0.25">
      <c r="A311" s="67"/>
      <c r="B311" s="67"/>
      <c r="C311" s="68"/>
      <c r="D311" s="69"/>
      <c r="E311" s="70"/>
      <c r="F311" s="70"/>
      <c r="G311" s="70"/>
    </row>
    <row r="312" spans="1:7" ht="15.75" x14ac:dyDescent="0.25">
      <c r="A312" s="67"/>
      <c r="B312" s="67"/>
      <c r="C312" s="68"/>
      <c r="D312" s="69"/>
      <c r="E312" s="70"/>
      <c r="F312" s="70"/>
      <c r="G312" s="70"/>
    </row>
    <row r="313" spans="1:7" ht="15.75" x14ac:dyDescent="0.25">
      <c r="A313" s="67"/>
      <c r="B313" s="67"/>
      <c r="C313" s="68"/>
      <c r="D313" s="69"/>
      <c r="E313" s="70"/>
      <c r="F313" s="70"/>
      <c r="G313" s="70"/>
    </row>
    <row r="314" spans="1:7" ht="15.75" x14ac:dyDescent="0.25">
      <c r="A314" s="67"/>
      <c r="B314" s="67"/>
      <c r="C314" s="68"/>
      <c r="D314" s="69"/>
      <c r="E314" s="70"/>
      <c r="F314" s="70"/>
      <c r="G314" s="70"/>
    </row>
    <row r="315" spans="1:7" ht="15.75" x14ac:dyDescent="0.25">
      <c r="A315" s="67"/>
      <c r="B315" s="67"/>
      <c r="C315" s="68"/>
      <c r="D315" s="69"/>
      <c r="E315" s="70"/>
      <c r="F315" s="70"/>
      <c r="G315" s="70"/>
    </row>
    <row r="316" spans="1:7" ht="15.75" x14ac:dyDescent="0.25">
      <c r="A316" s="67"/>
      <c r="B316" s="67"/>
      <c r="C316" s="68"/>
      <c r="D316" s="69"/>
      <c r="E316" s="70"/>
      <c r="F316" s="70"/>
      <c r="G316" s="70"/>
    </row>
    <row r="317" spans="1:7" ht="15.75" x14ac:dyDescent="0.25">
      <c r="A317" s="67"/>
      <c r="B317" s="67"/>
      <c r="C317" s="68"/>
      <c r="D317" s="69"/>
      <c r="E317" s="70"/>
      <c r="F317" s="70"/>
      <c r="G317" s="70"/>
    </row>
    <row r="318" spans="1:7" ht="15.75" x14ac:dyDescent="0.25">
      <c r="A318" s="67"/>
      <c r="B318" s="67"/>
      <c r="C318" s="68"/>
      <c r="D318" s="69"/>
      <c r="E318" s="70"/>
      <c r="F318" s="70"/>
      <c r="G318" s="70"/>
    </row>
    <row r="319" spans="1:7" ht="15.75" x14ac:dyDescent="0.25">
      <c r="A319" s="67"/>
      <c r="B319" s="67"/>
      <c r="C319" s="68"/>
      <c r="D319" s="69"/>
      <c r="E319" s="70"/>
      <c r="F319" s="70"/>
      <c r="G319" s="70"/>
    </row>
    <row r="320" spans="1:7" ht="15.75" x14ac:dyDescent="0.25">
      <c r="A320" s="67"/>
      <c r="B320" s="67"/>
      <c r="C320" s="68"/>
      <c r="D320" s="69"/>
      <c r="E320" s="70"/>
      <c r="F320" s="70"/>
      <c r="G320" s="70"/>
    </row>
    <row r="321" spans="1:7" ht="15.75" x14ac:dyDescent="0.25">
      <c r="A321" s="67"/>
      <c r="B321" s="67"/>
      <c r="C321" s="68"/>
      <c r="D321" s="69"/>
      <c r="E321" s="70"/>
      <c r="F321" s="70"/>
      <c r="G321" s="70"/>
    </row>
    <row r="322" spans="1:7" ht="15.75" x14ac:dyDescent="0.25">
      <c r="A322" s="67"/>
      <c r="B322" s="67"/>
      <c r="C322" s="68"/>
      <c r="D322" s="69"/>
      <c r="E322" s="70"/>
      <c r="F322" s="70"/>
      <c r="G322" s="70"/>
    </row>
    <row r="323" spans="1:7" ht="15.75" x14ac:dyDescent="0.25">
      <c r="A323" s="67"/>
      <c r="B323" s="67"/>
      <c r="C323" s="68"/>
      <c r="D323" s="69"/>
      <c r="E323" s="70"/>
      <c r="F323" s="70"/>
      <c r="G323" s="70"/>
    </row>
    <row r="324" spans="1:7" ht="15.75" x14ac:dyDescent="0.25">
      <c r="A324" s="67"/>
      <c r="B324" s="67"/>
      <c r="C324" s="68"/>
      <c r="D324" s="69"/>
      <c r="E324" s="70"/>
      <c r="F324" s="70"/>
      <c r="G324" s="70"/>
    </row>
    <row r="325" spans="1:7" ht="15.75" x14ac:dyDescent="0.25">
      <c r="A325" s="67"/>
      <c r="B325" s="67"/>
      <c r="C325" s="68"/>
      <c r="D325" s="69"/>
      <c r="E325" s="70"/>
      <c r="F325" s="70"/>
      <c r="G325" s="70"/>
    </row>
    <row r="326" spans="1:7" ht="15.75" x14ac:dyDescent="0.25">
      <c r="A326" s="67"/>
      <c r="B326" s="67"/>
      <c r="C326" s="68"/>
      <c r="D326" s="69"/>
      <c r="E326" s="70"/>
      <c r="F326" s="70"/>
      <c r="G326" s="70"/>
    </row>
    <row r="327" spans="1:7" ht="15.75" x14ac:dyDescent="0.25">
      <c r="A327" s="67"/>
      <c r="B327" s="67"/>
      <c r="C327" s="68"/>
      <c r="D327" s="69"/>
      <c r="E327" s="70"/>
      <c r="F327" s="70"/>
      <c r="G327" s="70"/>
    </row>
    <row r="328" spans="1:7" ht="15.75" x14ac:dyDescent="0.25">
      <c r="A328" s="67"/>
      <c r="B328" s="67"/>
      <c r="C328" s="68"/>
      <c r="D328" s="69"/>
      <c r="E328" s="70"/>
      <c r="F328" s="70"/>
      <c r="G328" s="70"/>
    </row>
    <row r="329" spans="1:7" ht="15.75" x14ac:dyDescent="0.25">
      <c r="A329" s="67"/>
      <c r="B329" s="67"/>
      <c r="C329" s="68"/>
      <c r="D329" s="69"/>
      <c r="E329" s="70"/>
      <c r="F329" s="70"/>
      <c r="G329" s="70"/>
    </row>
    <row r="330" spans="1:7" ht="15.75" x14ac:dyDescent="0.25">
      <c r="A330" s="67"/>
      <c r="B330" s="67"/>
      <c r="C330" s="68"/>
      <c r="D330" s="69"/>
      <c r="E330" s="70"/>
      <c r="F330" s="70"/>
      <c r="G330" s="70"/>
    </row>
    <row r="331" spans="1:7" ht="15.75" x14ac:dyDescent="0.25">
      <c r="A331" s="67"/>
      <c r="B331" s="67"/>
      <c r="C331" s="68"/>
      <c r="D331" s="69"/>
      <c r="E331" s="70"/>
      <c r="F331" s="70"/>
      <c r="G331" s="70"/>
    </row>
    <row r="332" spans="1:7" ht="15.75" x14ac:dyDescent="0.25">
      <c r="A332" s="67"/>
      <c r="B332" s="67"/>
      <c r="C332" s="68"/>
      <c r="D332" s="69"/>
      <c r="E332" s="70"/>
      <c r="F332" s="70"/>
      <c r="G332" s="70"/>
    </row>
    <row r="333" spans="1:7" ht="15.75" x14ac:dyDescent="0.25">
      <c r="A333" s="67"/>
      <c r="B333" s="67"/>
      <c r="C333" s="68"/>
      <c r="D333" s="69"/>
      <c r="E333" s="70"/>
      <c r="F333" s="70"/>
      <c r="G333" s="70"/>
    </row>
    <row r="334" spans="1:7" ht="15.75" x14ac:dyDescent="0.25">
      <c r="A334" s="67"/>
      <c r="B334" s="67"/>
      <c r="C334" s="68"/>
      <c r="D334" s="69"/>
      <c r="E334" s="70"/>
      <c r="F334" s="70"/>
      <c r="G334" s="70"/>
    </row>
    <row r="335" spans="1:7" ht="15.75" x14ac:dyDescent="0.25">
      <c r="A335" s="67"/>
      <c r="B335" s="67"/>
      <c r="C335" s="68"/>
      <c r="D335" s="69"/>
      <c r="E335" s="70"/>
      <c r="F335" s="70"/>
      <c r="G335" s="70"/>
    </row>
    <row r="336" spans="1:7" ht="15.75" x14ac:dyDescent="0.25">
      <c r="A336" s="67"/>
      <c r="B336" s="67"/>
      <c r="C336" s="68"/>
      <c r="D336" s="69"/>
      <c r="E336" s="70"/>
      <c r="F336" s="70"/>
      <c r="G336" s="70"/>
    </row>
    <row r="337" spans="1:7" ht="15.75" x14ac:dyDescent="0.25">
      <c r="A337" s="67"/>
      <c r="B337" s="67"/>
      <c r="C337" s="68"/>
      <c r="D337" s="69"/>
      <c r="E337" s="70"/>
      <c r="F337" s="70"/>
      <c r="G337" s="70"/>
    </row>
    <row r="338" spans="1:7" ht="15.75" x14ac:dyDescent="0.25">
      <c r="A338" s="67"/>
      <c r="B338" s="67"/>
      <c r="C338" s="68"/>
      <c r="D338" s="69"/>
      <c r="E338" s="70"/>
      <c r="F338" s="70"/>
      <c r="G338" s="70"/>
    </row>
    <row r="339" spans="1:7" ht="15.75" x14ac:dyDescent="0.25">
      <c r="A339" s="67"/>
      <c r="B339" s="67"/>
      <c r="C339" s="68"/>
      <c r="D339" s="69"/>
      <c r="E339" s="70"/>
      <c r="F339" s="70"/>
      <c r="G339" s="70"/>
    </row>
    <row r="340" spans="1:7" ht="15.75" x14ac:dyDescent="0.25">
      <c r="A340" s="67"/>
      <c r="B340" s="67"/>
      <c r="C340" s="68"/>
      <c r="D340" s="69"/>
      <c r="E340" s="70"/>
      <c r="F340" s="70"/>
      <c r="G340" s="70"/>
    </row>
    <row r="341" spans="1:7" ht="15.75" x14ac:dyDescent="0.25">
      <c r="A341" s="67"/>
      <c r="B341" s="67"/>
      <c r="C341" s="68"/>
      <c r="D341" s="69"/>
      <c r="E341" s="70"/>
      <c r="F341" s="70"/>
      <c r="G341" s="70"/>
    </row>
    <row r="342" spans="1:7" ht="15.75" x14ac:dyDescent="0.25">
      <c r="A342" s="67"/>
      <c r="B342" s="67"/>
      <c r="C342" s="68"/>
      <c r="D342" s="69"/>
      <c r="E342" s="70"/>
      <c r="F342" s="70"/>
      <c r="G342" s="70"/>
    </row>
    <row r="343" spans="1:7" ht="15.75" x14ac:dyDescent="0.25">
      <c r="A343" s="67"/>
      <c r="B343" s="67"/>
      <c r="C343" s="68"/>
      <c r="D343" s="69"/>
      <c r="E343" s="70"/>
      <c r="F343" s="70"/>
      <c r="G343" s="70"/>
    </row>
    <row r="344" spans="1:7" ht="15.75" x14ac:dyDescent="0.25">
      <c r="A344" s="67"/>
      <c r="B344" s="67"/>
      <c r="C344" s="68"/>
      <c r="D344" s="69"/>
      <c r="E344" s="70"/>
      <c r="F344" s="70"/>
      <c r="G344" s="70"/>
    </row>
    <row r="345" spans="1:7" ht="15.75" x14ac:dyDescent="0.25">
      <c r="A345" s="67"/>
      <c r="B345" s="67"/>
      <c r="C345" s="68"/>
      <c r="D345" s="69"/>
      <c r="E345" s="70"/>
      <c r="F345" s="70"/>
      <c r="G345" s="70"/>
    </row>
    <row r="346" spans="1:7" ht="15.75" x14ac:dyDescent="0.25">
      <c r="A346" s="67"/>
      <c r="B346" s="67"/>
      <c r="C346" s="68"/>
      <c r="D346" s="69"/>
      <c r="E346" s="70"/>
      <c r="F346" s="70"/>
      <c r="G346" s="70"/>
    </row>
    <row r="347" spans="1:7" ht="15.75" x14ac:dyDescent="0.25">
      <c r="A347" s="67"/>
      <c r="B347" s="67"/>
      <c r="C347" s="68"/>
      <c r="D347" s="69"/>
      <c r="E347" s="70"/>
      <c r="F347" s="70"/>
      <c r="G347" s="70"/>
    </row>
    <row r="348" spans="1:7" ht="15.75" x14ac:dyDescent="0.25">
      <c r="A348" s="67"/>
      <c r="B348" s="67"/>
      <c r="C348" s="68"/>
      <c r="D348" s="69"/>
      <c r="E348" s="70"/>
      <c r="F348" s="70"/>
      <c r="G348" s="70"/>
    </row>
    <row r="349" spans="1:7" ht="15.75" x14ac:dyDescent="0.25">
      <c r="A349" s="67"/>
      <c r="B349" s="67"/>
      <c r="C349" s="68"/>
      <c r="D349" s="69"/>
      <c r="E349" s="70"/>
      <c r="F349" s="70"/>
      <c r="G349" s="70"/>
    </row>
    <row r="350" spans="1:7" ht="15.75" x14ac:dyDescent="0.25">
      <c r="A350" s="67"/>
      <c r="B350" s="67"/>
      <c r="C350" s="68"/>
      <c r="D350" s="69"/>
      <c r="E350" s="70"/>
      <c r="F350" s="70"/>
      <c r="G350" s="70"/>
    </row>
    <row r="351" spans="1:7" ht="15.75" x14ac:dyDescent="0.25">
      <c r="A351" s="67"/>
      <c r="B351" s="67"/>
      <c r="C351" s="68"/>
      <c r="D351" s="69"/>
      <c r="E351" s="70"/>
      <c r="F351" s="70"/>
      <c r="G351" s="70"/>
    </row>
    <row r="352" spans="1:7" ht="15.75" x14ac:dyDescent="0.25">
      <c r="A352" s="67"/>
      <c r="B352" s="67"/>
      <c r="C352" s="68"/>
      <c r="D352" s="69"/>
      <c r="E352" s="70"/>
      <c r="F352" s="70"/>
      <c r="G352" s="70"/>
    </row>
    <row r="353" spans="1:7" ht="15.75" x14ac:dyDescent="0.25">
      <c r="A353" s="67"/>
      <c r="B353" s="67"/>
      <c r="C353" s="68"/>
      <c r="D353" s="69"/>
      <c r="E353" s="70"/>
      <c r="F353" s="70"/>
      <c r="G353" s="70"/>
    </row>
    <row r="354" spans="1:7" ht="15.75" x14ac:dyDescent="0.25">
      <c r="A354" s="67"/>
      <c r="B354" s="67"/>
      <c r="C354" s="68"/>
      <c r="D354" s="69"/>
      <c r="E354" s="70"/>
      <c r="F354" s="70"/>
      <c r="G354" s="70"/>
    </row>
    <row r="355" spans="1:7" ht="15.75" x14ac:dyDescent="0.25">
      <c r="A355" s="67"/>
      <c r="B355" s="67"/>
      <c r="C355" s="68"/>
      <c r="D355" s="69"/>
      <c r="E355" s="70"/>
      <c r="F355" s="70"/>
      <c r="G355" s="70"/>
    </row>
    <row r="356" spans="1:7" ht="15.75" x14ac:dyDescent="0.25">
      <c r="A356" s="67"/>
      <c r="B356" s="67"/>
      <c r="C356" s="68"/>
      <c r="D356" s="69"/>
      <c r="E356" s="70"/>
      <c r="F356" s="70"/>
      <c r="G356" s="70"/>
    </row>
    <row r="357" spans="1:7" ht="15.75" x14ac:dyDescent="0.25">
      <c r="A357" s="67"/>
      <c r="B357" s="67"/>
      <c r="C357" s="68"/>
      <c r="D357" s="69"/>
      <c r="E357" s="70"/>
      <c r="F357" s="70"/>
      <c r="G357" s="70"/>
    </row>
    <row r="358" spans="1:7" ht="15.75" x14ac:dyDescent="0.25">
      <c r="A358" s="67"/>
      <c r="B358" s="67"/>
      <c r="C358" s="68"/>
      <c r="D358" s="69"/>
      <c r="E358" s="70"/>
      <c r="F358" s="70"/>
      <c r="G358" s="70"/>
    </row>
    <row r="359" spans="1:7" ht="15.75" x14ac:dyDescent="0.25">
      <c r="A359" s="67"/>
      <c r="B359" s="67"/>
      <c r="C359" s="68"/>
      <c r="D359" s="69"/>
      <c r="E359" s="70"/>
      <c r="F359" s="70"/>
      <c r="G359" s="70"/>
    </row>
    <row r="360" spans="1:7" ht="15.75" x14ac:dyDescent="0.25">
      <c r="A360" s="67"/>
      <c r="B360" s="67"/>
      <c r="C360" s="68"/>
      <c r="D360" s="69"/>
      <c r="E360" s="70"/>
      <c r="F360" s="70"/>
      <c r="G360" s="70"/>
    </row>
    <row r="361" spans="1:7" ht="15.75" x14ac:dyDescent="0.25">
      <c r="A361" s="67"/>
      <c r="B361" s="67"/>
      <c r="C361" s="68"/>
      <c r="D361" s="69"/>
      <c r="E361" s="70"/>
      <c r="F361" s="70"/>
      <c r="G361" s="70"/>
    </row>
    <row r="362" spans="1:7" ht="15.75" x14ac:dyDescent="0.25">
      <c r="A362" s="67"/>
      <c r="B362" s="67"/>
      <c r="C362" s="68"/>
      <c r="D362" s="69"/>
      <c r="E362" s="70"/>
      <c r="F362" s="70"/>
      <c r="G362" s="70"/>
    </row>
    <row r="363" spans="1:7" ht="15.75" x14ac:dyDescent="0.25">
      <c r="A363" s="67"/>
      <c r="B363" s="67"/>
      <c r="C363" s="68"/>
      <c r="D363" s="69"/>
      <c r="E363" s="70"/>
      <c r="F363" s="70"/>
      <c r="G363" s="70"/>
    </row>
    <row r="364" spans="1:7" ht="15.75" x14ac:dyDescent="0.25">
      <c r="A364" s="67"/>
      <c r="B364" s="67"/>
      <c r="C364" s="68"/>
      <c r="D364" s="69"/>
      <c r="E364" s="70"/>
      <c r="F364" s="70"/>
      <c r="G364" s="70"/>
    </row>
    <row r="365" spans="1:7" ht="15.75" x14ac:dyDescent="0.25">
      <c r="A365" s="67"/>
      <c r="B365" s="67"/>
      <c r="C365" s="68"/>
      <c r="D365" s="69"/>
      <c r="E365" s="70"/>
      <c r="F365" s="70"/>
      <c r="G365" s="70"/>
    </row>
    <row r="366" spans="1:7" ht="15.75" x14ac:dyDescent="0.25">
      <c r="A366" s="67"/>
      <c r="B366" s="67"/>
      <c r="C366" s="68"/>
      <c r="D366" s="69"/>
      <c r="E366" s="70"/>
      <c r="F366" s="70"/>
      <c r="G366" s="70"/>
    </row>
    <row r="367" spans="1:7" ht="15.75" x14ac:dyDescent="0.25">
      <c r="A367" s="67"/>
      <c r="B367" s="67"/>
      <c r="C367" s="68"/>
      <c r="D367" s="69"/>
      <c r="E367" s="70"/>
      <c r="F367" s="70"/>
      <c r="G367" s="70"/>
    </row>
    <row r="368" spans="1:7" ht="15.75" x14ac:dyDescent="0.25">
      <c r="A368" s="67"/>
      <c r="B368" s="67"/>
      <c r="C368" s="68"/>
      <c r="D368" s="69"/>
      <c r="E368" s="70"/>
      <c r="F368" s="70"/>
      <c r="G368" s="70"/>
    </row>
    <row r="369" spans="1:7" ht="15.75" x14ac:dyDescent="0.25">
      <c r="A369" s="67"/>
      <c r="B369" s="67"/>
      <c r="C369" s="68"/>
      <c r="D369" s="69"/>
      <c r="E369" s="70"/>
      <c r="F369" s="70"/>
      <c r="G369" s="70"/>
    </row>
    <row r="370" spans="1:7" ht="15.75" x14ac:dyDescent="0.25">
      <c r="A370" s="67"/>
      <c r="B370" s="67"/>
      <c r="C370" s="68"/>
      <c r="D370" s="69"/>
      <c r="E370" s="70"/>
      <c r="F370" s="70"/>
      <c r="G370" s="70"/>
    </row>
    <row r="371" spans="1:7" ht="15.75" x14ac:dyDescent="0.25">
      <c r="A371" s="67"/>
      <c r="B371" s="67"/>
      <c r="C371" s="68"/>
      <c r="D371" s="69"/>
      <c r="E371" s="70"/>
      <c r="F371" s="70"/>
      <c r="G371" s="70"/>
    </row>
    <row r="372" spans="1:7" ht="15.75" x14ac:dyDescent="0.25">
      <c r="A372" s="67"/>
      <c r="B372" s="67"/>
      <c r="C372" s="68"/>
      <c r="D372" s="69"/>
      <c r="E372" s="70"/>
      <c r="F372" s="70"/>
      <c r="G372" s="70"/>
    </row>
    <row r="373" spans="1:7" ht="15.75" x14ac:dyDescent="0.25">
      <c r="A373" s="67"/>
      <c r="B373" s="67"/>
      <c r="C373" s="68"/>
      <c r="D373" s="69"/>
      <c r="E373" s="70"/>
      <c r="F373" s="70"/>
      <c r="G373" s="70"/>
    </row>
    <row r="374" spans="1:7" ht="15.75" x14ac:dyDescent="0.25">
      <c r="A374" s="67"/>
      <c r="B374" s="67"/>
      <c r="C374" s="68"/>
      <c r="D374" s="69"/>
      <c r="E374" s="70"/>
      <c r="F374" s="70"/>
      <c r="G374" s="70"/>
    </row>
    <row r="375" spans="1:7" ht="15.75" x14ac:dyDescent="0.25">
      <c r="A375" s="67"/>
      <c r="B375" s="67"/>
      <c r="C375" s="68"/>
      <c r="D375" s="69"/>
      <c r="E375" s="70"/>
      <c r="F375" s="70"/>
      <c r="G375" s="70"/>
    </row>
    <row r="376" spans="1:7" ht="15.75" x14ac:dyDescent="0.25">
      <c r="A376" s="67"/>
      <c r="B376" s="67"/>
      <c r="C376" s="68"/>
      <c r="D376" s="69"/>
      <c r="E376" s="70"/>
      <c r="F376" s="70"/>
      <c r="G376" s="70"/>
    </row>
    <row r="377" spans="1:7" ht="15.75" x14ac:dyDescent="0.25">
      <c r="A377" s="67"/>
      <c r="B377" s="67"/>
      <c r="C377" s="68"/>
      <c r="D377" s="69"/>
      <c r="E377" s="70"/>
      <c r="F377" s="70"/>
      <c r="G377" s="70"/>
    </row>
    <row r="378" spans="1:7" ht="15.75" x14ac:dyDescent="0.25">
      <c r="A378" s="67"/>
      <c r="B378" s="67"/>
      <c r="C378" s="68"/>
      <c r="D378" s="69"/>
      <c r="E378" s="70"/>
      <c r="F378" s="70"/>
      <c r="G378" s="70"/>
    </row>
    <row r="379" spans="1:7" ht="15.75" x14ac:dyDescent="0.25">
      <c r="A379" s="67"/>
      <c r="B379" s="67"/>
      <c r="C379" s="68"/>
      <c r="D379" s="69"/>
      <c r="E379" s="70"/>
      <c r="F379" s="70"/>
      <c r="G379" s="70"/>
    </row>
    <row r="380" spans="1:7" ht="15.75" x14ac:dyDescent="0.25">
      <c r="A380" s="67"/>
      <c r="B380" s="67"/>
      <c r="C380" s="68"/>
      <c r="D380" s="69"/>
      <c r="E380" s="70"/>
      <c r="F380" s="70"/>
      <c r="G380" s="70"/>
    </row>
    <row r="381" spans="1:7" ht="15.75" x14ac:dyDescent="0.25">
      <c r="A381" s="67"/>
      <c r="B381" s="67"/>
      <c r="C381" s="68"/>
      <c r="D381" s="69"/>
      <c r="E381" s="70"/>
      <c r="F381" s="70"/>
      <c r="G381" s="70"/>
    </row>
    <row r="382" spans="1:7" ht="15.75" x14ac:dyDescent="0.25">
      <c r="A382" s="67"/>
      <c r="B382" s="67"/>
      <c r="C382" s="68"/>
      <c r="D382" s="69"/>
      <c r="E382" s="70"/>
      <c r="F382" s="70"/>
      <c r="G382" s="70"/>
    </row>
    <row r="383" spans="1:7" ht="15.75" x14ac:dyDescent="0.25">
      <c r="A383" s="67"/>
      <c r="B383" s="67"/>
      <c r="C383" s="68"/>
      <c r="D383" s="69"/>
      <c r="E383" s="70"/>
      <c r="F383" s="70"/>
      <c r="G383" s="70"/>
    </row>
    <row r="384" spans="1:7" ht="15.75" x14ac:dyDescent="0.25">
      <c r="A384" s="67"/>
      <c r="B384" s="67"/>
      <c r="C384" s="68"/>
      <c r="D384" s="69"/>
      <c r="E384" s="70"/>
      <c r="F384" s="70"/>
      <c r="G384" s="70"/>
    </row>
    <row r="385" spans="1:7" ht="15.75" x14ac:dyDescent="0.25">
      <c r="A385" s="67"/>
      <c r="B385" s="67"/>
      <c r="C385" s="68"/>
      <c r="D385" s="69"/>
      <c r="E385" s="70"/>
      <c r="F385" s="70"/>
      <c r="G385" s="70"/>
    </row>
    <row r="386" spans="1:7" ht="15.75" x14ac:dyDescent="0.25">
      <c r="A386" s="67"/>
      <c r="B386" s="67"/>
      <c r="C386" s="68"/>
      <c r="D386" s="69"/>
      <c r="E386" s="70"/>
      <c r="F386" s="70"/>
      <c r="G386" s="70"/>
    </row>
    <row r="387" spans="1:7" ht="15.75" x14ac:dyDescent="0.25">
      <c r="A387" s="67"/>
      <c r="B387" s="67"/>
      <c r="C387" s="68"/>
      <c r="D387" s="69"/>
      <c r="E387" s="70"/>
      <c r="F387" s="70"/>
      <c r="G387" s="70"/>
    </row>
    <row r="388" spans="1:7" ht="15.75" x14ac:dyDescent="0.25">
      <c r="A388" s="67"/>
      <c r="B388" s="67"/>
      <c r="C388" s="68"/>
      <c r="D388" s="69"/>
      <c r="E388" s="70"/>
      <c r="F388" s="70"/>
      <c r="G388" s="70"/>
    </row>
    <row r="389" spans="1:7" ht="15.75" x14ac:dyDescent="0.25">
      <c r="A389" s="67"/>
      <c r="B389" s="67"/>
      <c r="C389" s="68"/>
      <c r="D389" s="69"/>
      <c r="E389" s="70"/>
      <c r="F389" s="70"/>
      <c r="G389" s="70"/>
    </row>
    <row r="390" spans="1:7" ht="15.75" x14ac:dyDescent="0.25">
      <c r="A390" s="67"/>
      <c r="B390" s="67"/>
      <c r="C390" s="68"/>
      <c r="D390" s="69"/>
      <c r="E390" s="70"/>
      <c r="F390" s="70"/>
      <c r="G390" s="70"/>
    </row>
    <row r="391" spans="1:7" ht="15.75" x14ac:dyDescent="0.25">
      <c r="A391" s="67"/>
      <c r="B391" s="67"/>
      <c r="C391" s="68"/>
      <c r="D391" s="69"/>
      <c r="E391" s="70"/>
      <c r="F391" s="70"/>
      <c r="G391" s="70"/>
    </row>
    <row r="392" spans="1:7" ht="15.75" x14ac:dyDescent="0.25">
      <c r="A392" s="67"/>
      <c r="B392" s="67"/>
      <c r="C392" s="68"/>
      <c r="D392" s="69"/>
      <c r="E392" s="70"/>
      <c r="F392" s="70"/>
      <c r="G392" s="70"/>
    </row>
    <row r="393" spans="1:7" ht="15.75" x14ac:dyDescent="0.25">
      <c r="A393" s="67"/>
      <c r="B393" s="67"/>
      <c r="C393" s="68"/>
      <c r="D393" s="69"/>
      <c r="E393" s="70"/>
      <c r="F393" s="70"/>
      <c r="G393" s="70"/>
    </row>
    <row r="394" spans="1:7" ht="15.75" x14ac:dyDescent="0.25">
      <c r="A394" s="67"/>
      <c r="B394" s="67"/>
      <c r="C394" s="68"/>
      <c r="D394" s="69"/>
      <c r="E394" s="70"/>
      <c r="F394" s="70"/>
      <c r="G394" s="70"/>
    </row>
    <row r="395" spans="1:7" ht="15.75" x14ac:dyDescent="0.25">
      <c r="A395" s="67"/>
      <c r="B395" s="67"/>
      <c r="C395" s="68"/>
      <c r="D395" s="69"/>
      <c r="E395" s="70"/>
      <c r="F395" s="70"/>
      <c r="G395" s="70"/>
    </row>
    <row r="396" spans="1:7" ht="15.75" x14ac:dyDescent="0.25">
      <c r="A396" s="67"/>
      <c r="B396" s="67"/>
      <c r="C396" s="68"/>
      <c r="D396" s="69"/>
      <c r="E396" s="70"/>
      <c r="F396" s="70"/>
      <c r="G396" s="70"/>
    </row>
    <row r="397" spans="1:7" ht="15.75" x14ac:dyDescent="0.25">
      <c r="A397" s="67"/>
      <c r="B397" s="67"/>
      <c r="C397" s="68"/>
      <c r="D397" s="69"/>
      <c r="E397" s="70"/>
      <c r="F397" s="70"/>
      <c r="G397" s="70"/>
    </row>
    <row r="398" spans="1:7" ht="15.75" x14ac:dyDescent="0.25">
      <c r="A398" s="67"/>
      <c r="B398" s="67"/>
      <c r="C398" s="68"/>
      <c r="D398" s="69"/>
      <c r="E398" s="70"/>
      <c r="F398" s="70"/>
      <c r="G398" s="70"/>
    </row>
    <row r="399" spans="1:7" ht="15.75" x14ac:dyDescent="0.25">
      <c r="A399" s="67"/>
      <c r="B399" s="67"/>
      <c r="C399" s="68"/>
      <c r="D399" s="69"/>
      <c r="E399" s="70"/>
      <c r="F399" s="70"/>
      <c r="G399" s="70"/>
    </row>
    <row r="400" spans="1:7" ht="15.75" x14ac:dyDescent="0.25">
      <c r="A400" s="67"/>
      <c r="B400" s="67"/>
      <c r="C400" s="68"/>
      <c r="D400" s="69"/>
      <c r="E400" s="70"/>
      <c r="F400" s="70"/>
      <c r="G400" s="70"/>
    </row>
    <row r="401" spans="1:7" ht="15.75" x14ac:dyDescent="0.25">
      <c r="A401" s="67"/>
      <c r="B401" s="67"/>
      <c r="C401" s="68"/>
      <c r="D401" s="69"/>
      <c r="E401" s="70"/>
      <c r="F401" s="70"/>
      <c r="G401" s="70"/>
    </row>
    <row r="402" spans="1:7" ht="15.75" x14ac:dyDescent="0.25">
      <c r="A402" s="67"/>
      <c r="B402" s="67"/>
      <c r="C402" s="68"/>
      <c r="D402" s="69"/>
      <c r="E402" s="70"/>
      <c r="F402" s="70"/>
      <c r="G402" s="70"/>
    </row>
    <row r="403" spans="1:7" ht="15.75" x14ac:dyDescent="0.25">
      <c r="A403" s="67"/>
      <c r="B403" s="67"/>
      <c r="C403" s="68"/>
      <c r="D403" s="69"/>
      <c r="E403" s="70"/>
      <c r="F403" s="70"/>
      <c r="G403" s="70"/>
    </row>
    <row r="404" spans="1:7" ht="15.75" x14ac:dyDescent="0.25">
      <c r="A404" s="67"/>
      <c r="B404" s="67"/>
      <c r="C404" s="68"/>
      <c r="D404" s="69"/>
      <c r="E404" s="70"/>
      <c r="F404" s="70"/>
      <c r="G404" s="70"/>
    </row>
    <row r="405" spans="1:7" ht="15.75" x14ac:dyDescent="0.25">
      <c r="A405" s="67"/>
      <c r="B405" s="67"/>
      <c r="C405" s="68"/>
      <c r="D405" s="69"/>
      <c r="E405" s="70"/>
      <c r="F405" s="70"/>
      <c r="G405" s="70"/>
    </row>
    <row r="406" spans="1:7" ht="15.75" x14ac:dyDescent="0.25">
      <c r="A406" s="67"/>
      <c r="B406" s="67"/>
      <c r="C406" s="68"/>
      <c r="D406" s="69"/>
      <c r="E406" s="70"/>
      <c r="F406" s="70"/>
      <c r="G406" s="70"/>
    </row>
    <row r="407" spans="1:7" ht="15.75" x14ac:dyDescent="0.25">
      <c r="A407" s="67"/>
      <c r="B407" s="67"/>
      <c r="C407" s="68"/>
      <c r="D407" s="69"/>
      <c r="E407" s="70"/>
      <c r="F407" s="70"/>
      <c r="G407" s="70"/>
    </row>
    <row r="408" spans="1:7" ht="15.75" x14ac:dyDescent="0.25">
      <c r="A408" s="67"/>
      <c r="B408" s="67"/>
      <c r="C408" s="68"/>
      <c r="D408" s="69"/>
      <c r="E408" s="70"/>
      <c r="F408" s="70"/>
      <c r="G408" s="70"/>
    </row>
    <row r="409" spans="1:7" ht="15.75" x14ac:dyDescent="0.25">
      <c r="A409" s="67"/>
      <c r="B409" s="67"/>
      <c r="C409" s="68"/>
      <c r="D409" s="69"/>
      <c r="E409" s="70"/>
      <c r="F409" s="70"/>
      <c r="G409" s="70"/>
    </row>
    <row r="410" spans="1:7" ht="15.75" x14ac:dyDescent="0.25">
      <c r="A410" s="67"/>
      <c r="B410" s="67"/>
      <c r="C410" s="68"/>
      <c r="D410" s="69"/>
      <c r="E410" s="70"/>
      <c r="F410" s="70"/>
      <c r="G410" s="70"/>
    </row>
    <row r="411" spans="1:7" ht="15.75" x14ac:dyDescent="0.25">
      <c r="A411" s="67"/>
      <c r="B411" s="67"/>
      <c r="C411" s="68"/>
      <c r="D411" s="69"/>
      <c r="E411" s="70"/>
      <c r="F411" s="70"/>
      <c r="G411" s="70"/>
    </row>
    <row r="412" spans="1:7" ht="15.75" x14ac:dyDescent="0.25">
      <c r="A412" s="67"/>
      <c r="B412" s="67"/>
      <c r="C412" s="68"/>
      <c r="D412" s="69"/>
      <c r="E412" s="70"/>
      <c r="F412" s="70"/>
      <c r="G412" s="70"/>
    </row>
    <row r="413" spans="1:7" ht="15.75" x14ac:dyDescent="0.25">
      <c r="A413" s="67"/>
      <c r="B413" s="67"/>
      <c r="C413" s="68"/>
      <c r="D413" s="69"/>
      <c r="E413" s="70"/>
      <c r="F413" s="70"/>
      <c r="G413" s="70"/>
    </row>
    <row r="414" spans="1:7" ht="15.75" x14ac:dyDescent="0.25">
      <c r="A414" s="67"/>
      <c r="B414" s="67"/>
      <c r="C414" s="68"/>
      <c r="D414" s="69"/>
      <c r="E414" s="70"/>
      <c r="F414" s="70"/>
      <c r="G414" s="70"/>
    </row>
    <row r="415" spans="1:7" ht="15.75" x14ac:dyDescent="0.25">
      <c r="A415" s="67"/>
      <c r="B415" s="67"/>
      <c r="C415" s="68"/>
      <c r="D415" s="69"/>
      <c r="E415" s="70"/>
      <c r="F415" s="70"/>
      <c r="G415" s="70"/>
    </row>
    <row r="416" spans="1:7" ht="15.75" x14ac:dyDescent="0.25">
      <c r="A416" s="67"/>
      <c r="B416" s="67"/>
      <c r="C416" s="68"/>
      <c r="D416" s="69"/>
      <c r="E416" s="70"/>
      <c r="F416" s="70"/>
      <c r="G416" s="70"/>
    </row>
    <row r="417" spans="1:7" ht="15.75" x14ac:dyDescent="0.25">
      <c r="A417" s="67"/>
      <c r="B417" s="67"/>
      <c r="C417" s="68"/>
      <c r="D417" s="69"/>
      <c r="E417" s="70"/>
      <c r="F417" s="70"/>
      <c r="G417" s="70"/>
    </row>
    <row r="418" spans="1:7" ht="15.75" x14ac:dyDescent="0.25">
      <c r="A418" s="67"/>
      <c r="B418" s="67"/>
      <c r="C418" s="68"/>
      <c r="D418" s="69"/>
      <c r="E418" s="70"/>
      <c r="F418" s="70"/>
      <c r="G418" s="70"/>
    </row>
    <row r="419" spans="1:7" ht="15.75" x14ac:dyDescent="0.25">
      <c r="A419" s="67"/>
      <c r="B419" s="67"/>
      <c r="C419" s="68"/>
      <c r="D419" s="69"/>
      <c r="E419" s="70"/>
      <c r="F419" s="70"/>
      <c r="G419" s="70"/>
    </row>
    <row r="420" spans="1:7" ht="15.75" x14ac:dyDescent="0.25">
      <c r="A420" s="67"/>
      <c r="B420" s="67"/>
      <c r="C420" s="68"/>
      <c r="D420" s="69"/>
      <c r="E420" s="70"/>
      <c r="F420" s="70"/>
      <c r="G420" s="70"/>
    </row>
    <row r="421" spans="1:7" ht="15.75" x14ac:dyDescent="0.25">
      <c r="A421" s="67"/>
      <c r="B421" s="67"/>
      <c r="C421" s="68"/>
      <c r="D421" s="69"/>
      <c r="E421" s="70"/>
      <c r="F421" s="70"/>
      <c r="G421" s="70"/>
    </row>
    <row r="422" spans="1:7" ht="15.75" x14ac:dyDescent="0.25">
      <c r="A422" s="67"/>
      <c r="B422" s="67"/>
      <c r="C422" s="68"/>
      <c r="D422" s="69"/>
      <c r="E422" s="70"/>
      <c r="F422" s="70"/>
      <c r="G422" s="70"/>
    </row>
    <row r="423" spans="1:7" ht="15.75" x14ac:dyDescent="0.25">
      <c r="A423" s="67"/>
      <c r="B423" s="67"/>
      <c r="C423" s="68"/>
      <c r="D423" s="69"/>
      <c r="E423" s="70"/>
      <c r="F423" s="70"/>
      <c r="G423" s="70"/>
    </row>
    <row r="424" spans="1:7" ht="15.75" x14ac:dyDescent="0.25">
      <c r="A424" s="67"/>
      <c r="B424" s="67"/>
      <c r="C424" s="68"/>
      <c r="D424" s="69"/>
      <c r="E424" s="70"/>
      <c r="F424" s="70"/>
      <c r="G424" s="70"/>
    </row>
    <row r="425" spans="1:7" ht="15.75" x14ac:dyDescent="0.25">
      <c r="A425" s="67"/>
      <c r="B425" s="67"/>
      <c r="C425" s="68"/>
      <c r="D425" s="69"/>
      <c r="E425" s="70"/>
      <c r="F425" s="70"/>
      <c r="G425" s="70"/>
    </row>
    <row r="426" spans="1:7" ht="15.75" x14ac:dyDescent="0.25">
      <c r="A426" s="67"/>
      <c r="B426" s="67"/>
      <c r="C426" s="68"/>
      <c r="D426" s="69"/>
      <c r="E426" s="70"/>
      <c r="F426" s="70"/>
      <c r="G426" s="70"/>
    </row>
    <row r="427" spans="1:7" ht="15.75" x14ac:dyDescent="0.25">
      <c r="A427" s="67"/>
      <c r="B427" s="67"/>
      <c r="C427" s="68"/>
      <c r="D427" s="69"/>
      <c r="E427" s="70"/>
      <c r="F427" s="70"/>
      <c r="G427" s="70"/>
    </row>
    <row r="428" spans="1:7" ht="15.75" x14ac:dyDescent="0.25">
      <c r="A428" s="67"/>
      <c r="B428" s="67"/>
      <c r="C428" s="68"/>
      <c r="D428" s="69"/>
      <c r="E428" s="70"/>
      <c r="F428" s="70"/>
      <c r="G428" s="70"/>
    </row>
    <row r="429" spans="1:7" ht="15.75" x14ac:dyDescent="0.25">
      <c r="A429" s="67"/>
      <c r="B429" s="67"/>
      <c r="C429" s="68"/>
      <c r="D429" s="69"/>
      <c r="E429" s="70"/>
      <c r="F429" s="70"/>
      <c r="G429" s="70"/>
    </row>
    <row r="430" spans="1:7" ht="15.75" x14ac:dyDescent="0.25">
      <c r="A430" s="67"/>
      <c r="B430" s="67"/>
      <c r="C430" s="68"/>
      <c r="D430" s="69"/>
      <c r="E430" s="70"/>
      <c r="F430" s="70"/>
      <c r="G430" s="70"/>
    </row>
    <row r="431" spans="1:7" ht="15.75" x14ac:dyDescent="0.25">
      <c r="A431" s="67"/>
      <c r="B431" s="67"/>
      <c r="C431" s="68"/>
      <c r="D431" s="69"/>
      <c r="E431" s="70"/>
      <c r="F431" s="70"/>
      <c r="G431" s="70"/>
    </row>
    <row r="432" spans="1:7" ht="15.75" x14ac:dyDescent="0.25">
      <c r="A432" s="67"/>
      <c r="B432" s="67"/>
      <c r="C432" s="68"/>
      <c r="D432" s="69"/>
      <c r="E432" s="70"/>
      <c r="F432" s="70"/>
      <c r="G432" s="70"/>
    </row>
    <row r="433" spans="1:7" ht="15.75" x14ac:dyDescent="0.25">
      <c r="A433" s="67"/>
      <c r="B433" s="67"/>
      <c r="C433" s="68"/>
      <c r="D433" s="69"/>
      <c r="E433" s="70"/>
      <c r="F433" s="70"/>
      <c r="G433" s="70"/>
    </row>
    <row r="434" spans="1:7" ht="15.75" x14ac:dyDescent="0.25">
      <c r="A434" s="67"/>
      <c r="B434" s="67"/>
      <c r="C434" s="68"/>
      <c r="D434" s="69"/>
      <c r="E434" s="70"/>
      <c r="F434" s="70"/>
      <c r="G434" s="70"/>
    </row>
    <row r="435" spans="1:7" ht="15.75" x14ac:dyDescent="0.25">
      <c r="A435" s="67"/>
      <c r="B435" s="67"/>
      <c r="C435" s="68"/>
      <c r="D435" s="69"/>
      <c r="E435" s="70"/>
      <c r="F435" s="70"/>
      <c r="G435" s="70"/>
    </row>
    <row r="436" spans="1:7" ht="15.75" x14ac:dyDescent="0.25">
      <c r="A436" s="67"/>
      <c r="B436" s="67"/>
      <c r="C436" s="68"/>
      <c r="D436" s="69"/>
      <c r="E436" s="70"/>
      <c r="F436" s="70"/>
      <c r="G436" s="70"/>
    </row>
    <row r="437" spans="1:7" ht="15.75" x14ac:dyDescent="0.25">
      <c r="A437" s="67"/>
      <c r="B437" s="67"/>
      <c r="C437" s="68"/>
      <c r="D437" s="69"/>
      <c r="E437" s="70"/>
      <c r="F437" s="70"/>
      <c r="G437" s="70"/>
    </row>
    <row r="438" spans="1:7" ht="15.75" x14ac:dyDescent="0.25">
      <c r="A438" s="67"/>
      <c r="B438" s="67"/>
      <c r="C438" s="68"/>
      <c r="D438" s="69"/>
      <c r="E438" s="70"/>
      <c r="F438" s="70"/>
      <c r="G438" s="70"/>
    </row>
    <row r="439" spans="1:7" ht="15.75" x14ac:dyDescent="0.25">
      <c r="A439" s="67"/>
      <c r="B439" s="67"/>
      <c r="C439" s="68"/>
      <c r="D439" s="69"/>
      <c r="E439" s="70"/>
      <c r="F439" s="70"/>
      <c r="G439" s="70"/>
    </row>
    <row r="440" spans="1:7" ht="15.75" x14ac:dyDescent="0.25">
      <c r="A440" s="67"/>
      <c r="B440" s="67"/>
      <c r="C440" s="68"/>
      <c r="D440" s="69"/>
      <c r="E440" s="70"/>
      <c r="F440" s="70"/>
      <c r="G440" s="70"/>
    </row>
    <row r="441" spans="1:7" ht="15.75" x14ac:dyDescent="0.25">
      <c r="A441" s="67"/>
      <c r="B441" s="67"/>
      <c r="C441" s="68"/>
      <c r="D441" s="69"/>
      <c r="E441" s="70"/>
      <c r="F441" s="70"/>
      <c r="G441" s="70"/>
    </row>
    <row r="442" spans="1:7" ht="15.75" x14ac:dyDescent="0.25">
      <c r="A442" s="67"/>
      <c r="B442" s="67"/>
      <c r="C442" s="68"/>
      <c r="D442" s="69"/>
      <c r="E442" s="70"/>
      <c r="F442" s="70"/>
      <c r="G442" s="70"/>
    </row>
    <row r="443" spans="1:7" ht="15.75" x14ac:dyDescent="0.25">
      <c r="A443" s="67"/>
      <c r="B443" s="67"/>
      <c r="C443" s="68"/>
      <c r="D443" s="69"/>
      <c r="E443" s="70"/>
      <c r="F443" s="70"/>
      <c r="G443" s="70"/>
    </row>
    <row r="444" spans="1:7" ht="15.75" x14ac:dyDescent="0.25">
      <c r="A444" s="67"/>
      <c r="B444" s="67"/>
      <c r="C444" s="68"/>
      <c r="D444" s="69"/>
      <c r="E444" s="70"/>
      <c r="F444" s="70"/>
      <c r="G444" s="70"/>
    </row>
    <row r="445" spans="1:7" ht="15.75" x14ac:dyDescent="0.25">
      <c r="A445" s="67"/>
      <c r="B445" s="67"/>
      <c r="C445" s="68"/>
      <c r="D445" s="69"/>
      <c r="E445" s="70"/>
      <c r="F445" s="70"/>
      <c r="G445" s="70"/>
    </row>
    <row r="446" spans="1:7" ht="15.75" x14ac:dyDescent="0.25">
      <c r="A446" s="67"/>
      <c r="B446" s="67"/>
      <c r="C446" s="68"/>
      <c r="D446" s="69"/>
      <c r="E446" s="70"/>
      <c r="F446" s="70"/>
      <c r="G446" s="70"/>
    </row>
    <row r="447" spans="1:7" ht="15.75" x14ac:dyDescent="0.25">
      <c r="A447" s="67"/>
      <c r="B447" s="67"/>
      <c r="C447" s="68"/>
      <c r="D447" s="69"/>
      <c r="E447" s="70"/>
      <c r="F447" s="70"/>
      <c r="G447" s="70"/>
    </row>
    <row r="448" spans="1:7" ht="15.75" x14ac:dyDescent="0.25">
      <c r="A448" s="67"/>
      <c r="B448" s="67"/>
      <c r="C448" s="68"/>
      <c r="D448" s="69"/>
      <c r="E448" s="70"/>
      <c r="F448" s="70"/>
      <c r="G448" s="70"/>
    </row>
    <row r="449" spans="1:7" ht="15.75" x14ac:dyDescent="0.25">
      <c r="A449" s="67"/>
      <c r="B449" s="67"/>
      <c r="C449" s="68"/>
      <c r="D449" s="69"/>
      <c r="E449" s="70"/>
      <c r="F449" s="70"/>
      <c r="G449" s="70"/>
    </row>
    <row r="450" spans="1:7" ht="15.75" x14ac:dyDescent="0.25">
      <c r="A450" s="67"/>
      <c r="B450" s="67"/>
      <c r="C450" s="68"/>
      <c r="D450" s="69"/>
      <c r="E450" s="70"/>
      <c r="F450" s="70"/>
      <c r="G450" s="70"/>
    </row>
    <row r="451" spans="1:7" ht="15.75" x14ac:dyDescent="0.25">
      <c r="A451" s="67"/>
      <c r="B451" s="67"/>
      <c r="C451" s="68"/>
      <c r="D451" s="69"/>
      <c r="E451" s="70"/>
      <c r="F451" s="70"/>
      <c r="G451" s="70"/>
    </row>
    <row r="452" spans="1:7" ht="15.75" x14ac:dyDescent="0.25">
      <c r="A452" s="67"/>
      <c r="B452" s="67"/>
      <c r="C452" s="68"/>
      <c r="D452" s="69"/>
      <c r="E452" s="70"/>
      <c r="F452" s="70"/>
      <c r="G452" s="70"/>
    </row>
    <row r="453" spans="1:7" ht="15.75" x14ac:dyDescent="0.25">
      <c r="A453" s="67"/>
      <c r="B453" s="67"/>
      <c r="C453" s="68"/>
      <c r="D453" s="69"/>
      <c r="E453" s="70"/>
      <c r="F453" s="70"/>
      <c r="G453" s="70"/>
    </row>
    <row r="454" spans="1:7" ht="15.75" x14ac:dyDescent="0.25">
      <c r="A454" s="67"/>
      <c r="B454" s="67"/>
      <c r="C454" s="68"/>
      <c r="D454" s="69"/>
      <c r="E454" s="70"/>
      <c r="F454" s="70"/>
      <c r="G454" s="70"/>
    </row>
    <row r="455" spans="1:7" ht="15.75" x14ac:dyDescent="0.25">
      <c r="A455" s="67"/>
      <c r="B455" s="67"/>
      <c r="C455" s="68"/>
      <c r="D455" s="69"/>
      <c r="E455" s="70"/>
      <c r="F455" s="70"/>
      <c r="G455" s="70"/>
    </row>
    <row r="456" spans="1:7" ht="15.75" x14ac:dyDescent="0.25">
      <c r="A456" s="67"/>
      <c r="B456" s="67"/>
      <c r="C456" s="68"/>
      <c r="D456" s="69"/>
      <c r="E456" s="70"/>
      <c r="F456" s="70"/>
      <c r="G456" s="70"/>
    </row>
    <row r="457" spans="1:7" ht="15.75" x14ac:dyDescent="0.25">
      <c r="A457" s="67"/>
      <c r="B457" s="67"/>
      <c r="C457" s="68"/>
      <c r="D457" s="69"/>
      <c r="E457" s="70"/>
      <c r="F457" s="70"/>
      <c r="G457" s="70"/>
    </row>
    <row r="458" spans="1:7" ht="15.75" x14ac:dyDescent="0.25">
      <c r="A458" s="67"/>
      <c r="B458" s="67"/>
      <c r="C458" s="68"/>
      <c r="D458" s="69"/>
      <c r="E458" s="70"/>
      <c r="F458" s="70"/>
      <c r="G458" s="70"/>
    </row>
    <row r="459" spans="1:7" ht="15.75" x14ac:dyDescent="0.25">
      <c r="A459" s="67"/>
      <c r="B459" s="67"/>
      <c r="C459" s="68"/>
      <c r="D459" s="69"/>
      <c r="E459" s="70"/>
      <c r="F459" s="70"/>
      <c r="G459" s="70"/>
    </row>
    <row r="460" spans="1:7" ht="15.75" x14ac:dyDescent="0.25">
      <c r="A460" s="67"/>
      <c r="B460" s="67"/>
      <c r="C460" s="68"/>
      <c r="D460" s="69"/>
      <c r="E460" s="70"/>
      <c r="F460" s="70"/>
      <c r="G460" s="70"/>
    </row>
    <row r="461" spans="1:7" ht="15.75" x14ac:dyDescent="0.25">
      <c r="A461" s="67"/>
      <c r="B461" s="67"/>
      <c r="C461" s="68"/>
      <c r="D461" s="69"/>
      <c r="E461" s="70"/>
      <c r="F461" s="70"/>
      <c r="G461" s="70"/>
    </row>
    <row r="462" spans="1:7" ht="15.75" x14ac:dyDescent="0.25">
      <c r="A462" s="67"/>
      <c r="B462" s="67"/>
      <c r="C462" s="68"/>
      <c r="D462" s="69"/>
      <c r="E462" s="70"/>
      <c r="F462" s="70"/>
      <c r="G462" s="70"/>
    </row>
    <row r="463" spans="1:7" ht="15.75" x14ac:dyDescent="0.25">
      <c r="A463" s="67"/>
      <c r="B463" s="67"/>
      <c r="C463" s="68"/>
      <c r="D463" s="69"/>
      <c r="E463" s="70"/>
      <c r="F463" s="70"/>
      <c r="G463" s="70"/>
    </row>
    <row r="464" spans="1:7" ht="15.75" x14ac:dyDescent="0.25">
      <c r="A464" s="67"/>
      <c r="B464" s="67"/>
      <c r="C464" s="68"/>
      <c r="D464" s="69"/>
      <c r="E464" s="70"/>
      <c r="F464" s="70"/>
      <c r="G464" s="70"/>
    </row>
    <row r="465" spans="1:7" ht="15.75" x14ac:dyDescent="0.25">
      <c r="A465" s="67"/>
      <c r="B465" s="67"/>
      <c r="C465" s="68"/>
      <c r="D465" s="69"/>
      <c r="E465" s="70"/>
      <c r="F465" s="70"/>
      <c r="G465" s="70"/>
    </row>
    <row r="466" spans="1:7" ht="15.75" x14ac:dyDescent="0.25">
      <c r="A466" s="67"/>
      <c r="B466" s="67"/>
      <c r="C466" s="68"/>
      <c r="D466" s="69"/>
      <c r="E466" s="70"/>
      <c r="F466" s="70"/>
      <c r="G466" s="70"/>
    </row>
    <row r="467" spans="1:7" ht="15.75" x14ac:dyDescent="0.25">
      <c r="A467" s="67"/>
      <c r="B467" s="67"/>
      <c r="C467" s="68"/>
      <c r="D467" s="69"/>
      <c r="E467" s="70"/>
      <c r="F467" s="70"/>
      <c r="G467" s="70"/>
    </row>
    <row r="468" spans="1:7" ht="15.75" x14ac:dyDescent="0.25">
      <c r="A468" s="67"/>
      <c r="B468" s="67"/>
      <c r="C468" s="68"/>
      <c r="D468" s="69"/>
      <c r="E468" s="70"/>
      <c r="F468" s="70"/>
      <c r="G468" s="70"/>
    </row>
    <row r="469" spans="1:7" ht="15.75" x14ac:dyDescent="0.25">
      <c r="A469" s="67"/>
      <c r="B469" s="67"/>
      <c r="C469" s="68"/>
      <c r="D469" s="69"/>
      <c r="E469" s="70"/>
      <c r="F469" s="70"/>
      <c r="G469" s="70"/>
    </row>
    <row r="470" spans="1:7" ht="15.75" x14ac:dyDescent="0.25">
      <c r="A470" s="67"/>
      <c r="B470" s="67"/>
      <c r="C470" s="68"/>
      <c r="D470" s="69"/>
      <c r="E470" s="70"/>
      <c r="F470" s="70"/>
      <c r="G470" s="70"/>
    </row>
    <row r="471" spans="1:7" ht="15.75" x14ac:dyDescent="0.25">
      <c r="A471" s="67"/>
      <c r="B471" s="67"/>
      <c r="C471" s="68"/>
      <c r="D471" s="69"/>
      <c r="E471" s="70"/>
      <c r="F471" s="70"/>
      <c r="G471" s="70"/>
    </row>
    <row r="472" spans="1:7" ht="15.75" x14ac:dyDescent="0.25">
      <c r="A472" s="67"/>
      <c r="B472" s="67"/>
      <c r="C472" s="68"/>
      <c r="D472" s="69"/>
      <c r="E472" s="70"/>
      <c r="F472" s="70"/>
      <c r="G472" s="70"/>
    </row>
    <row r="473" spans="1:7" ht="15.75" x14ac:dyDescent="0.25">
      <c r="A473" s="67"/>
      <c r="B473" s="67"/>
      <c r="C473" s="68"/>
      <c r="D473" s="69"/>
      <c r="E473" s="70"/>
      <c r="F473" s="70"/>
      <c r="G473" s="70"/>
    </row>
    <row r="474" spans="1:7" ht="15.75" x14ac:dyDescent="0.25">
      <c r="A474" s="67"/>
      <c r="B474" s="67"/>
      <c r="C474" s="68"/>
      <c r="D474" s="69"/>
      <c r="E474" s="70"/>
      <c r="F474" s="70"/>
      <c r="G474" s="70"/>
    </row>
    <row r="475" spans="1:7" ht="15.75" x14ac:dyDescent="0.25">
      <c r="A475" s="67"/>
      <c r="B475" s="67"/>
      <c r="C475" s="68"/>
      <c r="D475" s="69"/>
      <c r="E475" s="70"/>
      <c r="F475" s="70"/>
      <c r="G475" s="70"/>
    </row>
    <row r="476" spans="1:7" ht="15.75" x14ac:dyDescent="0.25">
      <c r="A476" s="67"/>
      <c r="B476" s="67"/>
      <c r="C476" s="68"/>
      <c r="D476" s="69"/>
      <c r="E476" s="70"/>
      <c r="F476" s="70"/>
      <c r="G476" s="70"/>
    </row>
    <row r="477" spans="1:7" ht="15.75" x14ac:dyDescent="0.25">
      <c r="A477" s="67"/>
      <c r="B477" s="67"/>
      <c r="C477" s="68"/>
      <c r="D477" s="69"/>
      <c r="E477" s="70"/>
      <c r="F477" s="70"/>
      <c r="G477" s="70"/>
    </row>
    <row r="478" spans="1:7" ht="15.75" x14ac:dyDescent="0.25">
      <c r="A478" s="67"/>
      <c r="B478" s="67"/>
      <c r="C478" s="68"/>
      <c r="D478" s="69"/>
      <c r="E478" s="70"/>
      <c r="F478" s="70"/>
      <c r="G478" s="70"/>
    </row>
    <row r="479" spans="1:7" ht="15.75" x14ac:dyDescent="0.25">
      <c r="A479" s="67"/>
      <c r="B479" s="67"/>
      <c r="C479" s="68"/>
      <c r="D479" s="69"/>
      <c r="E479" s="70"/>
      <c r="F479" s="70"/>
      <c r="G479" s="70"/>
    </row>
    <row r="480" spans="1:7" ht="15.75" x14ac:dyDescent="0.25">
      <c r="A480" s="67"/>
      <c r="B480" s="67"/>
      <c r="C480" s="68"/>
      <c r="D480" s="69"/>
      <c r="E480" s="70"/>
      <c r="F480" s="70"/>
      <c r="G480" s="70"/>
    </row>
    <row r="481" spans="1:7" ht="15.75" x14ac:dyDescent="0.25">
      <c r="A481" s="67"/>
      <c r="B481" s="67"/>
      <c r="C481" s="68"/>
      <c r="D481" s="69"/>
      <c r="E481" s="70"/>
      <c r="F481" s="70"/>
      <c r="G481" s="70"/>
    </row>
    <row r="482" spans="1:7" ht="15.75" x14ac:dyDescent="0.25">
      <c r="A482" s="67"/>
      <c r="B482" s="67"/>
      <c r="C482" s="68"/>
      <c r="D482" s="69"/>
      <c r="E482" s="70"/>
      <c r="F482" s="70"/>
      <c r="G482" s="70"/>
    </row>
    <row r="483" spans="1:7" ht="15.75" x14ac:dyDescent="0.25">
      <c r="A483" s="67"/>
      <c r="B483" s="67"/>
      <c r="C483" s="68"/>
      <c r="D483" s="69"/>
      <c r="E483" s="70"/>
      <c r="F483" s="70"/>
      <c r="G483" s="70"/>
    </row>
    <row r="484" spans="1:7" ht="15.75" x14ac:dyDescent="0.25">
      <c r="A484" s="67"/>
      <c r="B484" s="67"/>
      <c r="C484" s="68"/>
      <c r="D484" s="69"/>
      <c r="E484" s="70"/>
      <c r="F484" s="70"/>
      <c r="G484" s="70"/>
    </row>
    <row r="485" spans="1:7" ht="15.75" x14ac:dyDescent="0.25">
      <c r="A485" s="67"/>
      <c r="B485" s="67"/>
      <c r="C485" s="68"/>
      <c r="D485" s="69"/>
      <c r="E485" s="70"/>
      <c r="F485" s="70"/>
      <c r="G485" s="70"/>
    </row>
    <row r="486" spans="1:7" ht="15.75" x14ac:dyDescent="0.25">
      <c r="A486" s="67"/>
      <c r="B486" s="67"/>
      <c r="C486" s="68"/>
      <c r="D486" s="69"/>
      <c r="E486" s="70"/>
      <c r="F486" s="70"/>
      <c r="G486" s="70"/>
    </row>
    <row r="487" spans="1:7" ht="15.75" x14ac:dyDescent="0.25">
      <c r="A487" s="67"/>
      <c r="B487" s="67"/>
      <c r="C487" s="68"/>
      <c r="D487" s="69"/>
      <c r="E487" s="70"/>
      <c r="F487" s="70"/>
      <c r="G487" s="70"/>
    </row>
    <row r="488" spans="1:7" ht="15.75" x14ac:dyDescent="0.25">
      <c r="A488" s="67"/>
      <c r="B488" s="67"/>
      <c r="C488" s="68"/>
      <c r="D488" s="69"/>
      <c r="E488" s="70"/>
      <c r="F488" s="70"/>
      <c r="G488" s="70"/>
    </row>
    <row r="489" spans="1:7" ht="15.75" x14ac:dyDescent="0.25">
      <c r="A489" s="67"/>
      <c r="B489" s="67"/>
      <c r="C489" s="68"/>
      <c r="D489" s="69"/>
      <c r="E489" s="70"/>
      <c r="F489" s="70"/>
      <c r="G489" s="70"/>
    </row>
    <row r="490" spans="1:7" ht="15.75" x14ac:dyDescent="0.25">
      <c r="A490" s="67"/>
      <c r="B490" s="67"/>
      <c r="C490" s="68"/>
      <c r="D490" s="69"/>
      <c r="E490" s="70"/>
      <c r="F490" s="70"/>
      <c r="G490" s="70"/>
    </row>
    <row r="491" spans="1:7" ht="15.75" x14ac:dyDescent="0.25">
      <c r="A491" s="67"/>
      <c r="B491" s="67"/>
      <c r="C491" s="68"/>
      <c r="D491" s="69"/>
      <c r="E491" s="70"/>
      <c r="F491" s="70"/>
      <c r="G491" s="70"/>
    </row>
    <row r="492" spans="1:7" ht="15.75" x14ac:dyDescent="0.25">
      <c r="A492" s="67"/>
      <c r="B492" s="67"/>
      <c r="C492" s="68"/>
      <c r="D492" s="69"/>
      <c r="E492" s="70"/>
      <c r="F492" s="70"/>
      <c r="G492" s="70"/>
    </row>
    <row r="493" spans="1:7" ht="15.75" x14ac:dyDescent="0.25">
      <c r="A493" s="67"/>
      <c r="B493" s="67"/>
      <c r="C493" s="68"/>
      <c r="D493" s="69"/>
      <c r="E493" s="70"/>
      <c r="F493" s="70"/>
      <c r="G493" s="70"/>
    </row>
    <row r="494" spans="1:7" ht="15.75" x14ac:dyDescent="0.25">
      <c r="A494" s="67"/>
      <c r="B494" s="67"/>
      <c r="C494" s="68"/>
      <c r="D494" s="69"/>
      <c r="E494" s="70"/>
      <c r="F494" s="70"/>
      <c r="G494" s="70"/>
    </row>
    <row r="495" spans="1:7" ht="15.75" x14ac:dyDescent="0.25">
      <c r="A495" s="67"/>
      <c r="B495" s="67"/>
      <c r="C495" s="68"/>
      <c r="D495" s="69"/>
      <c r="E495" s="70"/>
      <c r="F495" s="70"/>
      <c r="G495" s="70"/>
    </row>
    <row r="496" spans="1:7" ht="15.75" x14ac:dyDescent="0.25">
      <c r="A496" s="67"/>
      <c r="B496" s="67"/>
      <c r="C496" s="68"/>
      <c r="D496" s="69"/>
      <c r="E496" s="70"/>
      <c r="F496" s="70"/>
      <c r="G496" s="70"/>
    </row>
    <row r="497" spans="1:7" ht="15.75" x14ac:dyDescent="0.25">
      <c r="A497" s="67"/>
      <c r="B497" s="67"/>
      <c r="C497" s="68"/>
      <c r="D497" s="69"/>
      <c r="E497" s="70"/>
      <c r="F497" s="70"/>
      <c r="G497" s="70"/>
    </row>
    <row r="498" spans="1:7" ht="15.75" x14ac:dyDescent="0.25">
      <c r="A498" s="67"/>
      <c r="B498" s="67"/>
      <c r="C498" s="68"/>
      <c r="D498" s="69"/>
      <c r="E498" s="70"/>
      <c r="F498" s="70"/>
      <c r="G498" s="70"/>
    </row>
    <row r="499" spans="1:7" ht="15.75" x14ac:dyDescent="0.25">
      <c r="A499" s="67"/>
      <c r="B499" s="67"/>
      <c r="C499" s="68"/>
      <c r="D499" s="69"/>
      <c r="E499" s="70"/>
      <c r="F499" s="70"/>
      <c r="G499" s="70"/>
    </row>
    <row r="500" spans="1:7" ht="15.75" x14ac:dyDescent="0.25">
      <c r="A500" s="67"/>
      <c r="B500" s="67"/>
      <c r="C500" s="68"/>
      <c r="D500" s="69"/>
      <c r="E500" s="70"/>
      <c r="F500" s="70"/>
      <c r="G500" s="70"/>
    </row>
    <row r="501" spans="1:7" ht="15.75" x14ac:dyDescent="0.25">
      <c r="A501" s="67"/>
      <c r="B501" s="67"/>
      <c r="C501" s="68"/>
      <c r="D501" s="69"/>
      <c r="E501" s="70"/>
      <c r="F501" s="70"/>
      <c r="G501" s="70"/>
    </row>
    <row r="502" spans="1:7" ht="15.75" x14ac:dyDescent="0.25">
      <c r="A502" s="67"/>
      <c r="B502" s="67"/>
      <c r="C502" s="68"/>
      <c r="D502" s="69"/>
      <c r="E502" s="70"/>
      <c r="F502" s="70"/>
      <c r="G502" s="70"/>
    </row>
    <row r="503" spans="1:7" ht="15.75" x14ac:dyDescent="0.25">
      <c r="A503" s="67"/>
      <c r="B503" s="67"/>
      <c r="C503" s="68"/>
      <c r="D503" s="69"/>
      <c r="E503" s="70"/>
      <c r="F503" s="70"/>
      <c r="G503" s="70"/>
    </row>
    <row r="504" spans="1:7" ht="15.75" x14ac:dyDescent="0.25">
      <c r="A504" s="67"/>
      <c r="B504" s="67"/>
      <c r="C504" s="68"/>
      <c r="D504" s="69"/>
      <c r="E504" s="70"/>
      <c r="F504" s="70"/>
      <c r="G504" s="70"/>
    </row>
    <row r="505" spans="1:7" ht="15.75" x14ac:dyDescent="0.25">
      <c r="A505" s="67"/>
      <c r="B505" s="67"/>
      <c r="C505" s="68"/>
      <c r="D505" s="69"/>
      <c r="E505" s="70"/>
      <c r="F505" s="70"/>
      <c r="G505" s="70"/>
    </row>
    <row r="506" spans="1:7" ht="15.75" x14ac:dyDescent="0.25">
      <c r="A506" s="67"/>
      <c r="B506" s="67"/>
      <c r="C506" s="68"/>
      <c r="D506" s="69"/>
      <c r="E506" s="70"/>
      <c r="F506" s="70"/>
      <c r="G506" s="70"/>
    </row>
    <row r="507" spans="1:7" ht="15.75" x14ac:dyDescent="0.25">
      <c r="A507" s="67"/>
      <c r="B507" s="67"/>
      <c r="C507" s="68"/>
      <c r="D507" s="69"/>
      <c r="E507" s="70"/>
      <c r="F507" s="70"/>
      <c r="G507" s="70"/>
    </row>
    <row r="508" spans="1:7" ht="15.75" x14ac:dyDescent="0.25">
      <c r="A508" s="67"/>
      <c r="B508" s="67"/>
      <c r="C508" s="68"/>
      <c r="D508" s="69"/>
      <c r="E508" s="70"/>
      <c r="F508" s="70"/>
      <c r="G508" s="70"/>
    </row>
    <row r="509" spans="1:7" ht="15.75" x14ac:dyDescent="0.25">
      <c r="A509" s="67"/>
      <c r="B509" s="67"/>
      <c r="C509" s="68"/>
      <c r="D509" s="69"/>
      <c r="E509" s="70"/>
      <c r="F509" s="70"/>
      <c r="G509" s="70"/>
    </row>
    <row r="510" spans="1:7" ht="15.75" x14ac:dyDescent="0.25">
      <c r="A510" s="67"/>
      <c r="B510" s="67"/>
      <c r="C510" s="68"/>
      <c r="D510" s="69"/>
      <c r="E510" s="70"/>
      <c r="F510" s="70"/>
      <c r="G510" s="70"/>
    </row>
    <row r="511" spans="1:7" ht="15.75" x14ac:dyDescent="0.25">
      <c r="A511" s="67"/>
      <c r="B511" s="67"/>
      <c r="C511" s="68"/>
      <c r="D511" s="69"/>
      <c r="E511" s="70"/>
      <c r="F511" s="70"/>
      <c r="G511" s="70"/>
    </row>
    <row r="512" spans="1:7" ht="15.75" x14ac:dyDescent="0.25">
      <c r="A512" s="67"/>
      <c r="B512" s="67"/>
      <c r="C512" s="68"/>
      <c r="D512" s="69"/>
      <c r="E512" s="70"/>
      <c r="F512" s="70"/>
      <c r="G512" s="70"/>
    </row>
    <row r="513" spans="1:7" ht="15.75" x14ac:dyDescent="0.25">
      <c r="A513" s="67"/>
      <c r="B513" s="67"/>
      <c r="C513" s="68"/>
      <c r="D513" s="69"/>
      <c r="E513" s="70"/>
      <c r="F513" s="70"/>
      <c r="G513" s="70"/>
    </row>
    <row r="514" spans="1:7" ht="15.75" x14ac:dyDescent="0.25">
      <c r="A514" s="67"/>
      <c r="B514" s="67"/>
      <c r="C514" s="68"/>
      <c r="D514" s="69"/>
      <c r="E514" s="70"/>
      <c r="F514" s="70"/>
      <c r="G514" s="70"/>
    </row>
    <row r="515" spans="1:7" ht="15.75" x14ac:dyDescent="0.25">
      <c r="A515" s="67"/>
      <c r="B515" s="67"/>
      <c r="C515" s="68"/>
      <c r="D515" s="69"/>
      <c r="E515" s="70"/>
      <c r="F515" s="70"/>
      <c r="G515" s="70"/>
    </row>
    <row r="516" spans="1:7" ht="15.75" x14ac:dyDescent="0.25">
      <c r="A516" s="67"/>
      <c r="B516" s="67"/>
      <c r="C516" s="68"/>
      <c r="D516" s="69"/>
      <c r="E516" s="70"/>
      <c r="F516" s="70"/>
      <c r="G516" s="70"/>
    </row>
    <row r="517" spans="1:7" ht="15.75" x14ac:dyDescent="0.25">
      <c r="A517" s="67"/>
      <c r="B517" s="67"/>
      <c r="C517" s="68"/>
      <c r="D517" s="69"/>
      <c r="E517" s="70"/>
      <c r="F517" s="70"/>
      <c r="G517" s="70"/>
    </row>
    <row r="518" spans="1:7" ht="15.75" x14ac:dyDescent="0.25">
      <c r="A518" s="67"/>
      <c r="B518" s="67"/>
      <c r="C518" s="68"/>
      <c r="D518" s="69"/>
      <c r="E518" s="70"/>
      <c r="F518" s="70"/>
      <c r="G518" s="70"/>
    </row>
    <row r="519" spans="1:7" ht="15.75" x14ac:dyDescent="0.25">
      <c r="A519" s="67"/>
      <c r="B519" s="67"/>
      <c r="C519" s="68"/>
      <c r="D519" s="69"/>
      <c r="E519" s="70"/>
      <c r="F519" s="70"/>
      <c r="G519" s="70"/>
    </row>
    <row r="520" spans="1:7" ht="15.75" x14ac:dyDescent="0.25">
      <c r="A520" s="67"/>
      <c r="B520" s="67"/>
      <c r="C520" s="68"/>
      <c r="D520" s="69"/>
      <c r="E520" s="70"/>
      <c r="F520" s="70"/>
      <c r="G520" s="70"/>
    </row>
    <row r="521" spans="1:7" ht="15.75" x14ac:dyDescent="0.25">
      <c r="A521" s="67"/>
      <c r="B521" s="67"/>
      <c r="C521" s="68"/>
      <c r="D521" s="69"/>
      <c r="E521" s="70"/>
      <c r="F521" s="70"/>
      <c r="G521" s="70"/>
    </row>
    <row r="522" spans="1:7" ht="15.75" x14ac:dyDescent="0.25">
      <c r="A522" s="67"/>
      <c r="B522" s="67"/>
      <c r="C522" s="68"/>
      <c r="D522" s="69"/>
      <c r="E522" s="70"/>
      <c r="F522" s="70"/>
      <c r="G522" s="70"/>
    </row>
    <row r="523" spans="1:7" ht="15.75" x14ac:dyDescent="0.25">
      <c r="A523" s="67"/>
      <c r="B523" s="67"/>
      <c r="C523" s="68"/>
      <c r="D523" s="69"/>
      <c r="E523" s="70"/>
      <c r="F523" s="70"/>
      <c r="G523" s="70"/>
    </row>
    <row r="524" spans="1:7" ht="15.75" x14ac:dyDescent="0.25">
      <c r="A524" s="67"/>
      <c r="B524" s="67"/>
      <c r="C524" s="68"/>
      <c r="D524" s="69"/>
      <c r="E524" s="70"/>
      <c r="F524" s="70"/>
      <c r="G524" s="70"/>
    </row>
    <row r="525" spans="1:7" ht="15.75" x14ac:dyDescent="0.25">
      <c r="A525" s="67"/>
      <c r="B525" s="67"/>
      <c r="C525" s="68"/>
      <c r="D525" s="69"/>
      <c r="E525" s="70"/>
      <c r="F525" s="70"/>
      <c r="G525" s="70"/>
    </row>
    <row r="526" spans="1:7" ht="15.75" x14ac:dyDescent="0.25">
      <c r="A526" s="67"/>
      <c r="B526" s="67"/>
      <c r="C526" s="68"/>
      <c r="D526" s="69"/>
      <c r="E526" s="70"/>
      <c r="F526" s="70"/>
      <c r="G526" s="70"/>
    </row>
    <row r="527" spans="1:7" ht="15.75" x14ac:dyDescent="0.25">
      <c r="A527" s="67"/>
      <c r="B527" s="67"/>
      <c r="C527" s="68"/>
      <c r="D527" s="69"/>
      <c r="E527" s="70"/>
      <c r="F527" s="70"/>
      <c r="G527" s="70"/>
    </row>
    <row r="528" spans="1:7" ht="15.75" x14ac:dyDescent="0.25">
      <c r="A528" s="67"/>
      <c r="B528" s="67"/>
      <c r="C528" s="68"/>
      <c r="D528" s="69"/>
      <c r="E528" s="70"/>
      <c r="F528" s="70"/>
      <c r="G528" s="70"/>
    </row>
    <row r="529" spans="1:7" ht="15.75" x14ac:dyDescent="0.25">
      <c r="A529" s="67"/>
      <c r="B529" s="67"/>
      <c r="C529" s="68"/>
      <c r="D529" s="69"/>
      <c r="E529" s="70"/>
      <c r="F529" s="70"/>
      <c r="G529" s="70"/>
    </row>
    <row r="530" spans="1:7" ht="15.75" x14ac:dyDescent="0.25">
      <c r="A530" s="67"/>
      <c r="B530" s="67"/>
      <c r="C530" s="68"/>
      <c r="D530" s="69"/>
      <c r="E530" s="70"/>
      <c r="F530" s="70"/>
      <c r="G530" s="70"/>
    </row>
    <row r="531" spans="1:7" ht="15.75" x14ac:dyDescent="0.25">
      <c r="A531" s="67"/>
      <c r="B531" s="67"/>
      <c r="C531" s="68"/>
      <c r="D531" s="69"/>
      <c r="E531" s="70"/>
      <c r="F531" s="70"/>
      <c r="G531" s="70"/>
    </row>
    <row r="532" spans="1:7" ht="15.75" x14ac:dyDescent="0.25">
      <c r="A532" s="67"/>
      <c r="B532" s="67"/>
      <c r="C532" s="68"/>
      <c r="D532" s="69"/>
      <c r="E532" s="70"/>
      <c r="F532" s="70"/>
      <c r="G532" s="70"/>
    </row>
    <row r="533" spans="1:7" ht="15.75" x14ac:dyDescent="0.25">
      <c r="A533" s="67"/>
      <c r="B533" s="67"/>
      <c r="C533" s="68"/>
      <c r="D533" s="69"/>
      <c r="E533" s="70"/>
      <c r="F533" s="70"/>
      <c r="G533" s="70"/>
    </row>
    <row r="534" spans="1:7" ht="15.75" x14ac:dyDescent="0.25">
      <c r="A534" s="67"/>
      <c r="B534" s="67"/>
      <c r="C534" s="68"/>
      <c r="D534" s="69"/>
      <c r="E534" s="70"/>
      <c r="F534" s="70"/>
      <c r="G534" s="70"/>
    </row>
    <row r="535" spans="1:7" ht="15.75" x14ac:dyDescent="0.25">
      <c r="A535" s="67"/>
      <c r="B535" s="67"/>
      <c r="C535" s="68"/>
      <c r="D535" s="69"/>
      <c r="E535" s="70"/>
      <c r="F535" s="70"/>
      <c r="G535" s="70"/>
    </row>
    <row r="536" spans="1:7" ht="15.75" x14ac:dyDescent="0.25">
      <c r="A536" s="67"/>
      <c r="B536" s="67"/>
      <c r="C536" s="68"/>
      <c r="D536" s="69"/>
      <c r="E536" s="70"/>
      <c r="F536" s="70"/>
      <c r="G536" s="70"/>
    </row>
    <row r="537" spans="1:7" ht="15.75" x14ac:dyDescent="0.25">
      <c r="A537" s="67"/>
      <c r="B537" s="67"/>
      <c r="C537" s="68"/>
      <c r="D537" s="69"/>
      <c r="E537" s="70"/>
      <c r="F537" s="70"/>
      <c r="G537" s="70"/>
    </row>
    <row r="538" spans="1:7" ht="15.75" x14ac:dyDescent="0.25">
      <c r="A538" s="67"/>
      <c r="B538" s="67"/>
      <c r="C538" s="68"/>
      <c r="D538" s="69"/>
      <c r="E538" s="70"/>
      <c r="F538" s="70"/>
      <c r="G538" s="70"/>
    </row>
    <row r="539" spans="1:7" ht="15.75" x14ac:dyDescent="0.25">
      <c r="A539" s="67"/>
      <c r="B539" s="67"/>
      <c r="C539" s="68"/>
      <c r="D539" s="69"/>
      <c r="E539" s="70"/>
      <c r="F539" s="70"/>
      <c r="G539" s="70"/>
    </row>
    <row r="540" spans="1:7" ht="15.75" x14ac:dyDescent="0.25">
      <c r="A540" s="67"/>
      <c r="B540" s="67"/>
      <c r="C540" s="68"/>
      <c r="D540" s="69"/>
      <c r="E540" s="70"/>
      <c r="F540" s="70"/>
      <c r="G540" s="70"/>
    </row>
    <row r="541" spans="1:7" ht="15.75" x14ac:dyDescent="0.25">
      <c r="A541" s="67"/>
      <c r="B541" s="67"/>
      <c r="C541" s="68"/>
      <c r="D541" s="69"/>
      <c r="E541" s="70"/>
      <c r="F541" s="70"/>
      <c r="G541" s="70"/>
    </row>
    <row r="542" spans="1:7" ht="15.75" x14ac:dyDescent="0.25">
      <c r="A542" s="67"/>
      <c r="B542" s="67"/>
      <c r="C542" s="68"/>
      <c r="D542" s="69"/>
      <c r="E542" s="70"/>
      <c r="F542" s="70"/>
      <c r="G542" s="70"/>
    </row>
    <row r="543" spans="1:7" ht="15.75" x14ac:dyDescent="0.25">
      <c r="A543" s="67"/>
      <c r="B543" s="67"/>
      <c r="C543" s="68"/>
      <c r="D543" s="69"/>
      <c r="E543" s="70"/>
      <c r="F543" s="70"/>
      <c r="G543" s="70"/>
    </row>
    <row r="544" spans="1:7" ht="15.75" x14ac:dyDescent="0.25">
      <c r="A544" s="67"/>
      <c r="B544" s="67"/>
      <c r="C544" s="68"/>
      <c r="D544" s="69"/>
      <c r="E544" s="70"/>
      <c r="F544" s="70"/>
      <c r="G544" s="70"/>
    </row>
    <row r="545" spans="1:7" ht="15.75" x14ac:dyDescent="0.25">
      <c r="A545" s="67"/>
      <c r="B545" s="67"/>
      <c r="C545" s="68"/>
      <c r="D545" s="69"/>
      <c r="E545" s="70"/>
      <c r="F545" s="70"/>
      <c r="G545" s="70"/>
    </row>
    <row r="546" spans="1:7" ht="15.75" x14ac:dyDescent="0.25">
      <c r="A546" s="67"/>
      <c r="B546" s="67"/>
      <c r="C546" s="68"/>
      <c r="D546" s="69"/>
      <c r="E546" s="70"/>
      <c r="F546" s="70"/>
      <c r="G546" s="70"/>
    </row>
    <row r="547" spans="1:7" ht="15.75" x14ac:dyDescent="0.25">
      <c r="A547" s="67"/>
      <c r="B547" s="67"/>
      <c r="C547" s="68"/>
      <c r="D547" s="69"/>
      <c r="E547" s="70"/>
      <c r="F547" s="70"/>
      <c r="G547" s="70"/>
    </row>
    <row r="548" spans="1:7" ht="15.75" x14ac:dyDescent="0.25">
      <c r="A548" s="67"/>
      <c r="B548" s="67"/>
      <c r="C548" s="68"/>
      <c r="D548" s="69"/>
      <c r="E548" s="70"/>
      <c r="F548" s="70"/>
      <c r="G548" s="70"/>
    </row>
    <row r="549" spans="1:7" ht="15.75" x14ac:dyDescent="0.25">
      <c r="A549" s="67"/>
      <c r="B549" s="67"/>
      <c r="C549" s="68"/>
      <c r="D549" s="69"/>
      <c r="E549" s="70"/>
      <c r="F549" s="70"/>
      <c r="G549" s="70"/>
    </row>
    <row r="550" spans="1:7" ht="15.75" x14ac:dyDescent="0.25">
      <c r="A550" s="67"/>
      <c r="B550" s="67"/>
      <c r="C550" s="68"/>
      <c r="D550" s="69"/>
      <c r="E550" s="70"/>
      <c r="F550" s="70"/>
      <c r="G550" s="70"/>
    </row>
    <row r="551" spans="1:7" ht="15.75" x14ac:dyDescent="0.25">
      <c r="A551" s="67"/>
      <c r="B551" s="67"/>
      <c r="C551" s="68"/>
      <c r="D551" s="69"/>
      <c r="E551" s="70"/>
      <c r="F551" s="70"/>
      <c r="G551" s="70"/>
    </row>
    <row r="552" spans="1:7" ht="15.75" x14ac:dyDescent="0.25">
      <c r="A552" s="67"/>
      <c r="B552" s="67"/>
      <c r="C552" s="68"/>
      <c r="D552" s="69"/>
      <c r="E552" s="70"/>
      <c r="F552" s="70"/>
      <c r="G552" s="70"/>
    </row>
    <row r="553" spans="1:7" ht="15.75" x14ac:dyDescent="0.25">
      <c r="A553" s="67"/>
      <c r="B553" s="67"/>
      <c r="C553" s="68"/>
      <c r="D553" s="69"/>
      <c r="E553" s="70"/>
      <c r="F553" s="70"/>
      <c r="G553" s="70"/>
    </row>
    <row r="554" spans="1:7" ht="15.75" x14ac:dyDescent="0.25">
      <c r="A554" s="67"/>
      <c r="B554" s="67"/>
      <c r="C554" s="68"/>
      <c r="D554" s="69"/>
      <c r="E554" s="70"/>
      <c r="F554" s="70"/>
      <c r="G554" s="70"/>
    </row>
    <row r="555" spans="1:7" ht="15.75" x14ac:dyDescent="0.25">
      <c r="A555" s="67"/>
      <c r="B555" s="67"/>
      <c r="C555" s="68"/>
      <c r="D555" s="69"/>
      <c r="E555" s="70"/>
      <c r="F555" s="70"/>
      <c r="G555" s="70"/>
    </row>
    <row r="556" spans="1:7" ht="15.75" x14ac:dyDescent="0.25">
      <c r="A556" s="67"/>
      <c r="B556" s="67"/>
      <c r="C556" s="68"/>
      <c r="D556" s="69"/>
      <c r="E556" s="70"/>
      <c r="F556" s="70"/>
      <c r="G556" s="70"/>
    </row>
    <row r="557" spans="1:7" ht="15.75" x14ac:dyDescent="0.25">
      <c r="A557" s="67"/>
      <c r="B557" s="67"/>
      <c r="C557" s="68"/>
      <c r="D557" s="69"/>
      <c r="E557" s="70"/>
      <c r="F557" s="70"/>
      <c r="G557" s="70"/>
    </row>
    <row r="558" spans="1:7" ht="15.75" x14ac:dyDescent="0.25">
      <c r="A558" s="67"/>
      <c r="B558" s="67"/>
      <c r="C558" s="68"/>
      <c r="D558" s="69"/>
      <c r="E558" s="70"/>
      <c r="F558" s="70"/>
      <c r="G558" s="70"/>
    </row>
    <row r="559" spans="1:7" ht="15.75" x14ac:dyDescent="0.25">
      <c r="A559" s="67"/>
      <c r="B559" s="67"/>
      <c r="C559" s="68"/>
      <c r="D559" s="69"/>
      <c r="E559" s="70"/>
      <c r="F559" s="70"/>
      <c r="G559" s="70"/>
    </row>
    <row r="560" spans="1:7" ht="15.75" x14ac:dyDescent="0.25">
      <c r="A560" s="67"/>
      <c r="B560" s="67"/>
      <c r="C560" s="68"/>
      <c r="D560" s="69"/>
      <c r="E560" s="70"/>
      <c r="F560" s="70"/>
      <c r="G560" s="70"/>
    </row>
    <row r="561" spans="1:7" ht="15.75" x14ac:dyDescent="0.25">
      <c r="A561" s="67"/>
      <c r="B561" s="67"/>
      <c r="C561" s="68"/>
      <c r="D561" s="69"/>
      <c r="E561" s="70"/>
      <c r="F561" s="70"/>
      <c r="G561" s="70"/>
    </row>
    <row r="562" spans="1:7" ht="15.75" x14ac:dyDescent="0.25">
      <c r="A562" s="67"/>
      <c r="B562" s="67"/>
      <c r="C562" s="68"/>
      <c r="D562" s="69"/>
      <c r="E562" s="70"/>
      <c r="F562" s="70"/>
      <c r="G562" s="70"/>
    </row>
    <row r="563" spans="1:7" ht="15.75" x14ac:dyDescent="0.25">
      <c r="A563" s="67"/>
      <c r="B563" s="67"/>
      <c r="C563" s="68"/>
      <c r="D563" s="69"/>
      <c r="E563" s="70"/>
      <c r="F563" s="70"/>
      <c r="G563" s="70"/>
    </row>
    <row r="564" spans="1:7" ht="15.75" x14ac:dyDescent="0.25">
      <c r="A564" s="67"/>
      <c r="B564" s="67"/>
      <c r="C564" s="68"/>
      <c r="D564" s="69"/>
      <c r="E564" s="70"/>
      <c r="F564" s="70"/>
      <c r="G564" s="70"/>
    </row>
    <row r="565" spans="1:7" ht="15.75" x14ac:dyDescent="0.25">
      <c r="A565" s="67"/>
      <c r="B565" s="67"/>
      <c r="C565" s="68"/>
      <c r="D565" s="69"/>
      <c r="E565" s="70"/>
      <c r="F565" s="70"/>
      <c r="G565" s="70"/>
    </row>
    <row r="566" spans="1:7" ht="15.75" x14ac:dyDescent="0.25">
      <c r="A566" s="67"/>
      <c r="B566" s="67"/>
      <c r="C566" s="68"/>
      <c r="D566" s="69"/>
      <c r="E566" s="70"/>
      <c r="F566" s="70"/>
      <c r="G566" s="70"/>
    </row>
    <row r="567" spans="1:7" ht="15.75" x14ac:dyDescent="0.25">
      <c r="A567" s="67"/>
      <c r="B567" s="67"/>
      <c r="C567" s="68"/>
      <c r="D567" s="69"/>
      <c r="E567" s="70"/>
      <c r="F567" s="70"/>
      <c r="G567" s="70"/>
    </row>
    <row r="568" spans="1:7" ht="15.75" x14ac:dyDescent="0.25">
      <c r="A568" s="67"/>
      <c r="B568" s="67"/>
      <c r="C568" s="68"/>
      <c r="D568" s="69"/>
      <c r="E568" s="70"/>
      <c r="F568" s="70"/>
      <c r="G568" s="70"/>
    </row>
    <row r="569" spans="1:7" ht="15.75" x14ac:dyDescent="0.25">
      <c r="A569" s="67"/>
      <c r="B569" s="67"/>
      <c r="C569" s="68"/>
      <c r="D569" s="69"/>
      <c r="E569" s="70"/>
      <c r="F569" s="70"/>
      <c r="G569" s="70"/>
    </row>
    <row r="570" spans="1:7" ht="15.75" x14ac:dyDescent="0.25">
      <c r="A570" s="67"/>
      <c r="B570" s="67"/>
      <c r="C570" s="68"/>
      <c r="D570" s="69"/>
      <c r="E570" s="70"/>
      <c r="F570" s="70"/>
      <c r="G570" s="70"/>
    </row>
    <row r="571" spans="1:7" ht="15.75" x14ac:dyDescent="0.25">
      <c r="A571" s="67"/>
      <c r="B571" s="67"/>
      <c r="C571" s="68"/>
      <c r="D571" s="69"/>
      <c r="E571" s="70"/>
      <c r="F571" s="70"/>
      <c r="G571" s="70"/>
    </row>
    <row r="572" spans="1:7" ht="15.75" x14ac:dyDescent="0.25">
      <c r="A572" s="67"/>
      <c r="B572" s="67"/>
      <c r="C572" s="68"/>
      <c r="D572" s="69"/>
      <c r="E572" s="70"/>
      <c r="F572" s="70"/>
      <c r="G572" s="70"/>
    </row>
    <row r="573" spans="1:7" ht="15.75" x14ac:dyDescent="0.25">
      <c r="A573" s="67"/>
      <c r="B573" s="67"/>
      <c r="C573" s="68"/>
      <c r="D573" s="69"/>
      <c r="E573" s="70"/>
      <c r="F573" s="70"/>
      <c r="G573" s="70"/>
    </row>
    <row r="574" spans="1:7" ht="15.75" x14ac:dyDescent="0.25">
      <c r="A574" s="67"/>
      <c r="B574" s="67"/>
      <c r="C574" s="68"/>
      <c r="D574" s="69"/>
      <c r="E574" s="70"/>
      <c r="F574" s="70"/>
      <c r="G574" s="70"/>
    </row>
    <row r="575" spans="1:7" ht="15.75" x14ac:dyDescent="0.25">
      <c r="A575" s="67"/>
      <c r="B575" s="67"/>
      <c r="C575" s="68"/>
      <c r="D575" s="69"/>
      <c r="E575" s="70"/>
      <c r="F575" s="70"/>
      <c r="G575" s="70"/>
    </row>
    <row r="576" spans="1:7" ht="15.75" x14ac:dyDescent="0.25">
      <c r="A576" s="67"/>
      <c r="B576" s="67"/>
      <c r="C576" s="68"/>
      <c r="D576" s="69"/>
      <c r="E576" s="70"/>
      <c r="F576" s="70"/>
      <c r="G576" s="70"/>
    </row>
    <row r="577" spans="1:7" ht="15.75" x14ac:dyDescent="0.25">
      <c r="A577" s="67"/>
      <c r="B577" s="67"/>
      <c r="C577" s="68"/>
      <c r="D577" s="69"/>
      <c r="E577" s="70"/>
      <c r="F577" s="70"/>
      <c r="G577" s="70"/>
    </row>
    <row r="578" spans="1:7" ht="15.75" x14ac:dyDescent="0.25">
      <c r="A578" s="67"/>
      <c r="B578" s="67"/>
      <c r="C578" s="68"/>
      <c r="D578" s="69"/>
      <c r="E578" s="70"/>
      <c r="F578" s="70"/>
      <c r="G578" s="70"/>
    </row>
    <row r="579" spans="1:7" ht="15.75" x14ac:dyDescent="0.25">
      <c r="A579" s="67"/>
      <c r="B579" s="67"/>
      <c r="C579" s="68"/>
      <c r="D579" s="69"/>
      <c r="E579" s="70"/>
      <c r="F579" s="70"/>
      <c r="G579" s="70"/>
    </row>
    <row r="580" spans="1:7" ht="15.75" x14ac:dyDescent="0.25">
      <c r="A580" s="67"/>
      <c r="B580" s="67"/>
      <c r="C580" s="68"/>
      <c r="D580" s="69"/>
      <c r="E580" s="70"/>
      <c r="F580" s="70"/>
      <c r="G580" s="70"/>
    </row>
    <row r="581" spans="1:7" ht="15.75" x14ac:dyDescent="0.25">
      <c r="A581" s="67"/>
      <c r="B581" s="67"/>
      <c r="C581" s="68"/>
      <c r="D581" s="69"/>
      <c r="E581" s="70"/>
      <c r="F581" s="70"/>
      <c r="G581" s="70"/>
    </row>
    <row r="582" spans="1:7" ht="15.75" x14ac:dyDescent="0.25">
      <c r="A582" s="67"/>
      <c r="B582" s="67"/>
      <c r="C582" s="68"/>
      <c r="D582" s="69"/>
      <c r="E582" s="70"/>
      <c r="F582" s="70"/>
      <c r="G582" s="70"/>
    </row>
    <row r="583" spans="1:7" ht="15.75" x14ac:dyDescent="0.25">
      <c r="A583" s="67"/>
      <c r="B583" s="67"/>
      <c r="C583" s="68"/>
      <c r="D583" s="69"/>
      <c r="E583" s="70"/>
      <c r="F583" s="70"/>
      <c r="G583" s="70"/>
    </row>
    <row r="584" spans="1:7" ht="15.75" x14ac:dyDescent="0.25">
      <c r="A584" s="67"/>
      <c r="B584" s="67"/>
      <c r="C584" s="68"/>
      <c r="D584" s="69"/>
      <c r="E584" s="70"/>
      <c r="F584" s="70"/>
      <c r="G584" s="70"/>
    </row>
    <row r="585" spans="1:7" ht="15.75" x14ac:dyDescent="0.25">
      <c r="A585" s="67"/>
      <c r="B585" s="67"/>
      <c r="C585" s="68"/>
      <c r="D585" s="69"/>
      <c r="E585" s="70"/>
      <c r="F585" s="70"/>
      <c r="G585" s="70"/>
    </row>
    <row r="586" spans="1:7" ht="15.75" x14ac:dyDescent="0.25">
      <c r="A586" s="67"/>
      <c r="B586" s="67"/>
      <c r="C586" s="68"/>
      <c r="D586" s="69"/>
      <c r="E586" s="70"/>
      <c r="F586" s="70"/>
      <c r="G586" s="70"/>
    </row>
    <row r="587" spans="1:7" ht="15.75" x14ac:dyDescent="0.25">
      <c r="A587" s="67"/>
      <c r="B587" s="67"/>
      <c r="C587" s="68"/>
      <c r="D587" s="69"/>
      <c r="E587" s="70"/>
      <c r="F587" s="70"/>
      <c r="G587" s="70"/>
    </row>
    <row r="588" spans="1:7" ht="15.75" x14ac:dyDescent="0.25">
      <c r="A588" s="67"/>
      <c r="B588" s="67"/>
      <c r="C588" s="68"/>
      <c r="D588" s="69"/>
      <c r="E588" s="70"/>
      <c r="F588" s="70"/>
      <c r="G588" s="70"/>
    </row>
    <row r="589" spans="1:7" ht="15.75" x14ac:dyDescent="0.25">
      <c r="A589" s="67"/>
      <c r="B589" s="67"/>
      <c r="C589" s="68"/>
      <c r="D589" s="69"/>
      <c r="E589" s="70"/>
      <c r="F589" s="70"/>
      <c r="G589" s="70"/>
    </row>
    <row r="590" spans="1:7" ht="15.75" x14ac:dyDescent="0.25">
      <c r="A590" s="67"/>
      <c r="B590" s="67"/>
      <c r="C590" s="68"/>
      <c r="D590" s="69"/>
      <c r="E590" s="70"/>
      <c r="F590" s="70"/>
      <c r="G590" s="70"/>
    </row>
    <row r="591" spans="1:7" ht="15.75" x14ac:dyDescent="0.25">
      <c r="A591" s="67"/>
      <c r="B591" s="67"/>
      <c r="C591" s="68"/>
      <c r="D591" s="69"/>
      <c r="E591" s="70"/>
      <c r="F591" s="70"/>
      <c r="G591" s="70"/>
    </row>
    <row r="592" spans="1:7" ht="15.75" x14ac:dyDescent="0.25">
      <c r="A592" s="67"/>
      <c r="B592" s="67"/>
      <c r="C592" s="68"/>
      <c r="D592" s="69"/>
      <c r="E592" s="70"/>
      <c r="F592" s="70"/>
      <c r="G592" s="70"/>
    </row>
    <row r="593" spans="1:7" ht="15.75" x14ac:dyDescent="0.25">
      <c r="A593" s="67"/>
      <c r="B593" s="67"/>
      <c r="C593" s="68"/>
      <c r="D593" s="69"/>
      <c r="E593" s="70"/>
      <c r="F593" s="70"/>
      <c r="G593" s="70"/>
    </row>
    <row r="594" spans="1:7" ht="15.75" x14ac:dyDescent="0.25">
      <c r="A594" s="67"/>
      <c r="B594" s="67"/>
      <c r="C594" s="68"/>
      <c r="D594" s="69"/>
      <c r="E594" s="70"/>
      <c r="F594" s="70"/>
      <c r="G594" s="70"/>
    </row>
    <row r="595" spans="1:7" ht="15.75" x14ac:dyDescent="0.25">
      <c r="A595" s="67"/>
      <c r="B595" s="67"/>
      <c r="C595" s="68"/>
      <c r="D595" s="69"/>
      <c r="E595" s="70"/>
      <c r="F595" s="70"/>
      <c r="G595" s="70"/>
    </row>
    <row r="596" spans="1:7" ht="15.75" x14ac:dyDescent="0.25">
      <c r="A596" s="67"/>
      <c r="B596" s="67"/>
      <c r="C596" s="68"/>
      <c r="D596" s="69"/>
      <c r="E596" s="70"/>
      <c r="F596" s="70"/>
      <c r="G596" s="70"/>
    </row>
    <row r="597" spans="1:7" ht="15.75" x14ac:dyDescent="0.25">
      <c r="A597" s="67"/>
      <c r="B597" s="67"/>
      <c r="C597" s="68"/>
      <c r="D597" s="69"/>
      <c r="E597" s="70"/>
      <c r="F597" s="70"/>
      <c r="G597" s="70"/>
    </row>
    <row r="598" spans="1:7" ht="15.75" x14ac:dyDescent="0.25">
      <c r="A598" s="67"/>
      <c r="B598" s="67"/>
      <c r="C598" s="68"/>
      <c r="D598" s="69"/>
      <c r="E598" s="70"/>
      <c r="F598" s="70"/>
      <c r="G598" s="70"/>
    </row>
    <row r="599" spans="1:7" ht="15.75" x14ac:dyDescent="0.25">
      <c r="A599" s="67"/>
      <c r="B599" s="67"/>
      <c r="C599" s="68"/>
      <c r="D599" s="69"/>
      <c r="E599" s="70"/>
      <c r="F599" s="70"/>
      <c r="G599" s="70"/>
    </row>
    <row r="600" spans="1:7" ht="15.75" x14ac:dyDescent="0.25">
      <c r="A600" s="67"/>
      <c r="B600" s="67"/>
      <c r="C600" s="68"/>
      <c r="D600" s="69"/>
      <c r="E600" s="70"/>
      <c r="F600" s="70"/>
      <c r="G600" s="70"/>
    </row>
    <row r="601" spans="1:7" ht="15.75" x14ac:dyDescent="0.25">
      <c r="A601" s="67"/>
      <c r="B601" s="67"/>
      <c r="C601" s="68"/>
      <c r="D601" s="69"/>
      <c r="E601" s="70"/>
      <c r="F601" s="70"/>
      <c r="G601" s="70"/>
    </row>
    <row r="602" spans="1:7" ht="15.75" x14ac:dyDescent="0.25">
      <c r="A602" s="67"/>
      <c r="B602" s="67"/>
      <c r="C602" s="68"/>
      <c r="D602" s="69"/>
      <c r="E602" s="70"/>
      <c r="F602" s="70"/>
      <c r="G602" s="70"/>
    </row>
    <row r="603" spans="1:7" ht="15.75" x14ac:dyDescent="0.25">
      <c r="A603" s="67"/>
      <c r="B603" s="67"/>
      <c r="C603" s="68"/>
      <c r="D603" s="69"/>
      <c r="E603" s="70"/>
      <c r="F603" s="70"/>
      <c r="G603" s="70"/>
    </row>
    <row r="604" spans="1:7" ht="15.75" x14ac:dyDescent="0.25">
      <c r="A604" s="67"/>
      <c r="B604" s="67"/>
      <c r="C604" s="68"/>
      <c r="D604" s="69"/>
      <c r="E604" s="70"/>
      <c r="F604" s="70"/>
      <c r="G604" s="70"/>
    </row>
    <row r="605" spans="1:7" ht="15.75" x14ac:dyDescent="0.25">
      <c r="A605" s="67"/>
      <c r="B605" s="67"/>
      <c r="C605" s="68"/>
      <c r="D605" s="69"/>
      <c r="E605" s="70"/>
      <c r="F605" s="70"/>
      <c r="G605" s="70"/>
    </row>
    <row r="606" spans="1:7" ht="15.75" x14ac:dyDescent="0.25">
      <c r="A606" s="67"/>
      <c r="B606" s="67"/>
      <c r="C606" s="68"/>
      <c r="D606" s="69"/>
      <c r="E606" s="70"/>
      <c r="F606" s="70"/>
      <c r="G606" s="70"/>
    </row>
    <row r="607" spans="1:7" ht="15.75" x14ac:dyDescent="0.25">
      <c r="A607" s="67"/>
      <c r="B607" s="67"/>
      <c r="C607" s="68"/>
      <c r="D607" s="69"/>
      <c r="E607" s="70"/>
      <c r="F607" s="70"/>
      <c r="G607" s="70"/>
    </row>
    <row r="608" spans="1:7" ht="15.75" x14ac:dyDescent="0.25">
      <c r="A608" s="67"/>
      <c r="B608" s="67"/>
      <c r="C608" s="68"/>
      <c r="D608" s="69"/>
      <c r="E608" s="70"/>
      <c r="F608" s="70"/>
      <c r="G608" s="70"/>
    </row>
    <row r="609" spans="1:7" ht="15.75" x14ac:dyDescent="0.25">
      <c r="A609" s="67"/>
      <c r="B609" s="67"/>
      <c r="C609" s="68"/>
      <c r="D609" s="69"/>
      <c r="E609" s="70"/>
      <c r="F609" s="70"/>
      <c r="G609" s="70"/>
    </row>
    <row r="610" spans="1:7" ht="15.75" x14ac:dyDescent="0.25">
      <c r="A610" s="67"/>
      <c r="B610" s="67"/>
      <c r="C610" s="68"/>
      <c r="D610" s="69"/>
      <c r="E610" s="70"/>
      <c r="F610" s="70"/>
      <c r="G610" s="70"/>
    </row>
    <row r="611" spans="1:7" ht="15.75" x14ac:dyDescent="0.25">
      <c r="A611" s="67"/>
      <c r="B611" s="67"/>
      <c r="C611" s="68"/>
      <c r="D611" s="69"/>
      <c r="E611" s="70"/>
      <c r="F611" s="70"/>
      <c r="G611" s="70"/>
    </row>
    <row r="612" spans="1:7" ht="15.75" x14ac:dyDescent="0.25">
      <c r="A612" s="67"/>
      <c r="B612" s="67"/>
      <c r="C612" s="68"/>
      <c r="D612" s="69"/>
      <c r="E612" s="70"/>
      <c r="F612" s="70"/>
      <c r="G612" s="70"/>
    </row>
    <row r="613" spans="1:7" ht="15.75" x14ac:dyDescent="0.25">
      <c r="A613" s="67"/>
      <c r="B613" s="67"/>
      <c r="C613" s="68"/>
      <c r="D613" s="69"/>
      <c r="E613" s="70"/>
      <c r="F613" s="70"/>
      <c r="G613" s="70"/>
    </row>
    <row r="614" spans="1:7" ht="15.75" x14ac:dyDescent="0.25">
      <c r="A614" s="67"/>
      <c r="B614" s="67"/>
      <c r="C614" s="68"/>
      <c r="D614" s="69"/>
      <c r="E614" s="70"/>
      <c r="F614" s="70"/>
      <c r="G614" s="70"/>
    </row>
    <row r="615" spans="1:7" ht="15.75" x14ac:dyDescent="0.25">
      <c r="A615" s="67"/>
      <c r="B615" s="67"/>
      <c r="C615" s="68"/>
      <c r="D615" s="69"/>
      <c r="E615" s="70"/>
      <c r="F615" s="70"/>
      <c r="G615" s="70"/>
    </row>
    <row r="616" spans="1:7" ht="15.75" x14ac:dyDescent="0.25">
      <c r="A616" s="67"/>
      <c r="B616" s="67"/>
      <c r="C616" s="68"/>
      <c r="D616" s="69"/>
      <c r="E616" s="70"/>
      <c r="F616" s="70"/>
      <c r="G616" s="70"/>
    </row>
    <row r="617" spans="1:7" ht="15.75" x14ac:dyDescent="0.25">
      <c r="A617" s="67"/>
      <c r="B617" s="67"/>
      <c r="C617" s="68"/>
      <c r="D617" s="69"/>
      <c r="E617" s="70"/>
      <c r="F617" s="70"/>
      <c r="G617" s="70"/>
    </row>
    <row r="618" spans="1:7" ht="15.75" x14ac:dyDescent="0.25">
      <c r="A618" s="67"/>
      <c r="B618" s="67"/>
      <c r="C618" s="68"/>
      <c r="D618" s="69"/>
      <c r="E618" s="70"/>
      <c r="F618" s="70"/>
      <c r="G618" s="70"/>
    </row>
    <row r="619" spans="1:7" ht="15.75" x14ac:dyDescent="0.25">
      <c r="A619" s="67"/>
      <c r="B619" s="67"/>
      <c r="C619" s="68"/>
      <c r="D619" s="69"/>
      <c r="E619" s="70"/>
      <c r="F619" s="70"/>
      <c r="G619" s="70"/>
    </row>
    <row r="620" spans="1:7" ht="15.75" x14ac:dyDescent="0.25">
      <c r="A620" s="67"/>
      <c r="B620" s="67"/>
      <c r="C620" s="68"/>
      <c r="D620" s="69"/>
      <c r="E620" s="70"/>
      <c r="F620" s="70"/>
      <c r="G620" s="70"/>
    </row>
    <row r="621" spans="1:7" ht="15.75" x14ac:dyDescent="0.25">
      <c r="A621" s="67"/>
      <c r="B621" s="67"/>
      <c r="C621" s="68"/>
      <c r="D621" s="69"/>
      <c r="E621" s="70"/>
      <c r="F621" s="70"/>
      <c r="G621" s="70"/>
    </row>
    <row r="622" spans="1:7" ht="15.75" x14ac:dyDescent="0.25">
      <c r="A622" s="67"/>
      <c r="B622" s="67"/>
      <c r="C622" s="68"/>
      <c r="D622" s="69"/>
      <c r="E622" s="70"/>
      <c r="F622" s="70"/>
      <c r="G622" s="70"/>
    </row>
    <row r="623" spans="1:7" ht="15.75" x14ac:dyDescent="0.25">
      <c r="A623" s="67"/>
      <c r="B623" s="67"/>
      <c r="C623" s="68"/>
      <c r="D623" s="69"/>
      <c r="E623" s="70"/>
      <c r="F623" s="70"/>
      <c r="G623" s="70"/>
    </row>
    <row r="624" spans="1:7" ht="15.75" x14ac:dyDescent="0.25">
      <c r="A624" s="67"/>
      <c r="B624" s="67"/>
      <c r="C624" s="68"/>
      <c r="D624" s="69"/>
      <c r="E624" s="70"/>
      <c r="F624" s="70"/>
      <c r="G624" s="70"/>
    </row>
    <row r="625" spans="1:7" ht="15.75" x14ac:dyDescent="0.25">
      <c r="A625" s="67"/>
      <c r="B625" s="67"/>
      <c r="C625" s="68"/>
      <c r="D625" s="69"/>
      <c r="E625" s="70"/>
      <c r="F625" s="70"/>
      <c r="G625" s="70"/>
    </row>
    <row r="626" spans="1:7" ht="15.75" x14ac:dyDescent="0.25">
      <c r="A626" s="67"/>
      <c r="B626" s="67"/>
      <c r="C626" s="68"/>
      <c r="D626" s="69"/>
      <c r="E626" s="70"/>
      <c r="F626" s="70"/>
      <c r="G626" s="70"/>
    </row>
    <row r="627" spans="1:7" ht="15.75" x14ac:dyDescent="0.25">
      <c r="A627" s="67"/>
      <c r="B627" s="67"/>
      <c r="C627" s="68"/>
      <c r="D627" s="69"/>
      <c r="E627" s="70"/>
      <c r="F627" s="70"/>
      <c r="G627" s="70"/>
    </row>
    <row r="628" spans="1:7" ht="15.75" x14ac:dyDescent="0.25">
      <c r="A628" s="67"/>
      <c r="B628" s="67"/>
      <c r="C628" s="68"/>
      <c r="D628" s="69"/>
      <c r="E628" s="70"/>
      <c r="F628" s="70"/>
      <c r="G628" s="70"/>
    </row>
    <row r="629" spans="1:7" ht="15.75" x14ac:dyDescent="0.25">
      <c r="A629" s="67"/>
      <c r="B629" s="67"/>
      <c r="C629" s="68"/>
      <c r="D629" s="69"/>
      <c r="E629" s="70"/>
      <c r="F629" s="70"/>
      <c r="G629" s="70"/>
    </row>
    <row r="630" spans="1:7" ht="15.75" x14ac:dyDescent="0.25">
      <c r="A630" s="67"/>
      <c r="B630" s="67"/>
      <c r="C630" s="68"/>
      <c r="D630" s="69"/>
      <c r="E630" s="70"/>
      <c r="F630" s="70"/>
      <c r="G630" s="70"/>
    </row>
    <row r="631" spans="1:7" ht="15.75" x14ac:dyDescent="0.25">
      <c r="A631" s="67"/>
      <c r="B631" s="67"/>
      <c r="C631" s="68"/>
      <c r="D631" s="69"/>
      <c r="E631" s="70"/>
      <c r="F631" s="70"/>
      <c r="G631" s="70"/>
    </row>
    <row r="632" spans="1:7" ht="15.75" x14ac:dyDescent="0.25">
      <c r="A632" s="67"/>
      <c r="B632" s="67"/>
      <c r="C632" s="68"/>
      <c r="D632" s="69"/>
      <c r="E632" s="70"/>
      <c r="F632" s="70"/>
      <c r="G632" s="70"/>
    </row>
    <row r="633" spans="1:7" ht="15.75" x14ac:dyDescent="0.25">
      <c r="A633" s="67"/>
      <c r="B633" s="67"/>
      <c r="C633" s="68"/>
      <c r="D633" s="69"/>
      <c r="E633" s="70"/>
      <c r="F633" s="70"/>
      <c r="G633" s="70"/>
    </row>
    <row r="634" spans="1:7" ht="15.75" x14ac:dyDescent="0.25">
      <c r="A634" s="67"/>
      <c r="B634" s="67"/>
      <c r="C634" s="68"/>
      <c r="D634" s="69"/>
      <c r="E634" s="70"/>
      <c r="F634" s="70"/>
      <c r="G634" s="70"/>
    </row>
    <row r="635" spans="1:7" ht="15.75" x14ac:dyDescent="0.25">
      <c r="A635" s="67"/>
      <c r="B635" s="67"/>
      <c r="C635" s="68"/>
      <c r="D635" s="69"/>
      <c r="E635" s="70"/>
      <c r="F635" s="70"/>
      <c r="G635" s="70"/>
    </row>
    <row r="636" spans="1:7" ht="15.75" x14ac:dyDescent="0.25">
      <c r="A636" s="67"/>
      <c r="B636" s="67"/>
      <c r="C636" s="68"/>
      <c r="D636" s="69"/>
      <c r="E636" s="70"/>
      <c r="F636" s="70"/>
      <c r="G636" s="70"/>
    </row>
    <row r="637" spans="1:7" ht="15.75" x14ac:dyDescent="0.25">
      <c r="A637" s="67"/>
      <c r="B637" s="67"/>
      <c r="C637" s="68"/>
      <c r="D637" s="69"/>
      <c r="E637" s="70"/>
      <c r="F637" s="70"/>
      <c r="G637" s="70"/>
    </row>
    <row r="638" spans="1:7" ht="15.75" x14ac:dyDescent="0.25">
      <c r="A638" s="67"/>
      <c r="B638" s="67"/>
      <c r="C638" s="68"/>
      <c r="D638" s="69"/>
      <c r="E638" s="70"/>
      <c r="F638" s="70"/>
      <c r="G638" s="70"/>
    </row>
    <row r="639" spans="1:7" ht="15.75" x14ac:dyDescent="0.25">
      <c r="A639" s="67"/>
      <c r="B639" s="67"/>
      <c r="C639" s="68"/>
      <c r="D639" s="69"/>
      <c r="E639" s="70"/>
      <c r="F639" s="70"/>
      <c r="G639" s="70"/>
    </row>
    <row r="640" spans="1:7" ht="15.75" x14ac:dyDescent="0.25">
      <c r="A640" s="67"/>
      <c r="B640" s="67"/>
      <c r="C640" s="68"/>
      <c r="D640" s="69"/>
      <c r="E640" s="70"/>
      <c r="F640" s="70"/>
      <c r="G640" s="70"/>
    </row>
    <row r="641" spans="1:7" ht="15.75" x14ac:dyDescent="0.25">
      <c r="A641" s="67"/>
      <c r="B641" s="67"/>
      <c r="C641" s="68"/>
      <c r="D641" s="69"/>
      <c r="E641" s="70"/>
      <c r="F641" s="70"/>
      <c r="G641" s="70"/>
    </row>
    <row r="642" spans="1:7" ht="15.75" x14ac:dyDescent="0.25">
      <c r="A642" s="67"/>
      <c r="B642" s="67"/>
      <c r="C642" s="68"/>
      <c r="D642" s="69"/>
      <c r="E642" s="70"/>
      <c r="F642" s="70"/>
      <c r="G642" s="70"/>
    </row>
    <row r="643" spans="1:7" ht="15.75" x14ac:dyDescent="0.25">
      <c r="A643" s="67"/>
      <c r="B643" s="67"/>
      <c r="C643" s="68"/>
      <c r="D643" s="69"/>
      <c r="E643" s="70"/>
      <c r="F643" s="70"/>
      <c r="G643" s="70"/>
    </row>
    <row r="644" spans="1:7" ht="15.75" x14ac:dyDescent="0.25">
      <c r="A644" s="67"/>
      <c r="B644" s="67"/>
      <c r="C644" s="68"/>
      <c r="D644" s="69"/>
      <c r="E644" s="70"/>
      <c r="F644" s="70"/>
      <c r="G644" s="70"/>
    </row>
    <row r="645" spans="1:7" ht="15.75" x14ac:dyDescent="0.25">
      <c r="A645" s="67"/>
      <c r="B645" s="67"/>
      <c r="C645" s="68"/>
      <c r="D645" s="69"/>
      <c r="E645" s="70"/>
      <c r="F645" s="70"/>
      <c r="G645" s="70"/>
    </row>
    <row r="646" spans="1:7" ht="15.75" x14ac:dyDescent="0.25">
      <c r="A646" s="67"/>
      <c r="B646" s="67"/>
      <c r="C646" s="68"/>
      <c r="D646" s="69"/>
      <c r="E646" s="70"/>
      <c r="F646" s="70"/>
      <c r="G646" s="70"/>
    </row>
    <row r="647" spans="1:7" ht="15.75" x14ac:dyDescent="0.25">
      <c r="A647" s="67"/>
      <c r="B647" s="67"/>
      <c r="C647" s="68"/>
      <c r="D647" s="69"/>
      <c r="E647" s="70"/>
      <c r="F647" s="70"/>
      <c r="G647" s="70"/>
    </row>
    <row r="648" spans="1:7" ht="15.75" x14ac:dyDescent="0.25">
      <c r="A648" s="67"/>
      <c r="B648" s="67"/>
      <c r="C648" s="68"/>
      <c r="D648" s="69"/>
      <c r="E648" s="70"/>
      <c r="F648" s="70"/>
      <c r="G648" s="70"/>
    </row>
    <row r="649" spans="1:7" ht="15.75" x14ac:dyDescent="0.25">
      <c r="A649" s="67"/>
      <c r="B649" s="67"/>
      <c r="C649" s="68"/>
      <c r="D649" s="69"/>
      <c r="E649" s="70"/>
      <c r="F649" s="70"/>
      <c r="G649" s="70"/>
    </row>
    <row r="650" spans="1:7" ht="15.75" x14ac:dyDescent="0.25">
      <c r="A650" s="67"/>
      <c r="B650" s="67"/>
      <c r="C650" s="68"/>
      <c r="D650" s="69"/>
      <c r="E650" s="70"/>
      <c r="F650" s="70"/>
      <c r="G650" s="70"/>
    </row>
    <row r="651" spans="1:7" ht="15.75" x14ac:dyDescent="0.25">
      <c r="A651" s="67"/>
      <c r="B651" s="67"/>
      <c r="C651" s="68"/>
      <c r="D651" s="69"/>
      <c r="E651" s="70"/>
      <c r="F651" s="70"/>
      <c r="G651" s="70"/>
    </row>
    <row r="652" spans="1:7" ht="15.75" x14ac:dyDescent="0.25">
      <c r="A652" s="67"/>
      <c r="B652" s="67"/>
      <c r="C652" s="68"/>
      <c r="D652" s="69"/>
      <c r="E652" s="70"/>
      <c r="F652" s="70"/>
      <c r="G652" s="70"/>
    </row>
    <row r="653" spans="1:7" ht="15.75" x14ac:dyDescent="0.25">
      <c r="A653" s="67"/>
      <c r="B653" s="67"/>
      <c r="C653" s="68"/>
      <c r="D653" s="69"/>
      <c r="E653" s="70"/>
      <c r="F653" s="70"/>
      <c r="G653" s="70"/>
    </row>
    <row r="654" spans="1:7" ht="15.75" x14ac:dyDescent="0.25">
      <c r="A654" s="67"/>
      <c r="B654" s="67"/>
      <c r="C654" s="68"/>
      <c r="D654" s="69"/>
      <c r="E654" s="70"/>
      <c r="F654" s="70"/>
      <c r="G654" s="70"/>
    </row>
    <row r="655" spans="1:7" ht="15.75" x14ac:dyDescent="0.25">
      <c r="A655" s="67"/>
      <c r="B655" s="67"/>
      <c r="C655" s="68"/>
      <c r="D655" s="69"/>
      <c r="E655" s="70"/>
      <c r="F655" s="70"/>
      <c r="G655" s="70"/>
    </row>
    <row r="656" spans="1:7" ht="15.75" x14ac:dyDescent="0.25">
      <c r="A656" s="67"/>
      <c r="B656" s="67"/>
      <c r="C656" s="68"/>
      <c r="D656" s="69"/>
      <c r="E656" s="70"/>
      <c r="F656" s="70"/>
      <c r="G656" s="70"/>
    </row>
    <row r="657" spans="1:7" ht="15.75" x14ac:dyDescent="0.25">
      <c r="A657" s="67"/>
      <c r="B657" s="67"/>
      <c r="C657" s="68"/>
      <c r="D657" s="69"/>
      <c r="E657" s="70"/>
      <c r="F657" s="70"/>
      <c r="G657" s="70"/>
    </row>
    <row r="658" spans="1:7" ht="15.75" x14ac:dyDescent="0.25">
      <c r="A658" s="67"/>
      <c r="B658" s="67"/>
      <c r="C658" s="68"/>
      <c r="D658" s="69"/>
      <c r="E658" s="70"/>
      <c r="F658" s="70"/>
      <c r="G658" s="70"/>
    </row>
    <row r="659" spans="1:7" ht="15.75" x14ac:dyDescent="0.25">
      <c r="A659" s="67"/>
      <c r="B659" s="67"/>
      <c r="C659" s="68"/>
      <c r="D659" s="69"/>
      <c r="E659" s="70"/>
      <c r="F659" s="70"/>
      <c r="G659" s="70"/>
    </row>
    <row r="660" spans="1:7" ht="15.75" x14ac:dyDescent="0.25">
      <c r="A660" s="67"/>
      <c r="B660" s="67"/>
      <c r="C660" s="68"/>
      <c r="D660" s="69"/>
      <c r="E660" s="70"/>
      <c r="F660" s="70"/>
      <c r="G660" s="70"/>
    </row>
    <row r="661" spans="1:7" ht="15.75" x14ac:dyDescent="0.25">
      <c r="A661" s="67"/>
      <c r="B661" s="67"/>
      <c r="C661" s="68"/>
      <c r="D661" s="69"/>
      <c r="E661" s="70"/>
      <c r="F661" s="70"/>
      <c r="G661" s="70"/>
    </row>
    <row r="662" spans="1:7" ht="15.75" x14ac:dyDescent="0.25">
      <c r="A662" s="67"/>
      <c r="B662" s="67"/>
      <c r="C662" s="68"/>
      <c r="D662" s="69"/>
      <c r="E662" s="70"/>
      <c r="F662" s="70"/>
      <c r="G662" s="70"/>
    </row>
    <row r="663" spans="1:7" ht="15.75" x14ac:dyDescent="0.25">
      <c r="A663" s="67"/>
      <c r="B663" s="67"/>
      <c r="C663" s="68"/>
      <c r="D663" s="69"/>
      <c r="E663" s="70"/>
      <c r="F663" s="70"/>
      <c r="G663" s="70"/>
    </row>
    <row r="664" spans="1:7" ht="15.75" x14ac:dyDescent="0.25">
      <c r="A664" s="67"/>
      <c r="B664" s="67"/>
      <c r="C664" s="68"/>
      <c r="D664" s="69"/>
      <c r="E664" s="70"/>
      <c r="F664" s="70"/>
      <c r="G664" s="70"/>
    </row>
    <row r="665" spans="1:7" ht="15.75" x14ac:dyDescent="0.25">
      <c r="A665" s="67"/>
      <c r="B665" s="67"/>
      <c r="C665" s="68"/>
      <c r="D665" s="69"/>
      <c r="E665" s="70"/>
      <c r="F665" s="70"/>
      <c r="G665" s="70"/>
    </row>
    <row r="666" spans="1:7" ht="15.75" x14ac:dyDescent="0.25">
      <c r="A666" s="67"/>
      <c r="B666" s="67"/>
      <c r="C666" s="68"/>
      <c r="D666" s="69"/>
      <c r="E666" s="70"/>
      <c r="F666" s="70"/>
      <c r="G666" s="70"/>
    </row>
    <row r="667" spans="1:7" ht="15.75" x14ac:dyDescent="0.25">
      <c r="A667" s="67"/>
      <c r="B667" s="67"/>
      <c r="C667" s="68"/>
      <c r="D667" s="69"/>
      <c r="E667" s="70"/>
      <c r="F667" s="70"/>
      <c r="G667" s="70"/>
    </row>
    <row r="668" spans="1:7" ht="15.75" x14ac:dyDescent="0.25">
      <c r="A668" s="67"/>
      <c r="B668" s="67"/>
      <c r="C668" s="68"/>
      <c r="D668" s="69"/>
      <c r="E668" s="70"/>
      <c r="F668" s="70"/>
      <c r="G668" s="70"/>
    </row>
    <row r="669" spans="1:7" ht="15.75" x14ac:dyDescent="0.25">
      <c r="A669" s="67"/>
      <c r="B669" s="67"/>
      <c r="C669" s="68"/>
      <c r="D669" s="69"/>
      <c r="E669" s="70"/>
      <c r="F669" s="70"/>
      <c r="G669" s="70"/>
    </row>
    <row r="670" spans="1:7" ht="15.75" x14ac:dyDescent="0.25">
      <c r="A670" s="67"/>
      <c r="B670" s="67"/>
      <c r="C670" s="68"/>
      <c r="D670" s="69"/>
      <c r="E670" s="70"/>
      <c r="F670" s="70"/>
      <c r="G670" s="70"/>
    </row>
    <row r="671" spans="1:7" ht="15.75" x14ac:dyDescent="0.25">
      <c r="A671" s="67"/>
      <c r="B671" s="67"/>
      <c r="C671" s="68"/>
      <c r="D671" s="69"/>
      <c r="E671" s="70"/>
      <c r="F671" s="70"/>
      <c r="G671" s="70"/>
    </row>
    <row r="672" spans="1:7" ht="15.75" x14ac:dyDescent="0.25">
      <c r="A672" s="67"/>
      <c r="B672" s="67"/>
      <c r="C672" s="68"/>
      <c r="D672" s="69"/>
      <c r="E672" s="70"/>
      <c r="F672" s="70"/>
      <c r="G672" s="70"/>
    </row>
    <row r="673" spans="1:7" ht="15.75" x14ac:dyDescent="0.25">
      <c r="A673" s="67"/>
      <c r="B673" s="67"/>
      <c r="C673" s="68"/>
      <c r="D673" s="69"/>
      <c r="E673" s="70"/>
      <c r="F673" s="70"/>
      <c r="G673" s="70"/>
    </row>
    <row r="674" spans="1:7" ht="15.75" x14ac:dyDescent="0.25">
      <c r="A674" s="67"/>
      <c r="B674" s="67"/>
      <c r="C674" s="68"/>
      <c r="D674" s="69"/>
      <c r="E674" s="70"/>
      <c r="F674" s="70"/>
      <c r="G674" s="70"/>
    </row>
    <row r="675" spans="1:7" ht="15.75" x14ac:dyDescent="0.25">
      <c r="A675" s="67"/>
      <c r="B675" s="67"/>
      <c r="C675" s="68"/>
      <c r="D675" s="69"/>
      <c r="E675" s="70"/>
      <c r="F675" s="70"/>
      <c r="G675" s="70"/>
    </row>
    <row r="676" spans="1:7" ht="15.75" x14ac:dyDescent="0.25">
      <c r="A676" s="67"/>
      <c r="B676" s="67"/>
      <c r="C676" s="68"/>
      <c r="D676" s="69"/>
      <c r="E676" s="70"/>
      <c r="F676" s="70"/>
      <c r="G676" s="70"/>
    </row>
    <row r="677" spans="1:7" ht="15.75" x14ac:dyDescent="0.25">
      <c r="A677" s="67"/>
      <c r="B677" s="67"/>
      <c r="C677" s="68"/>
      <c r="D677" s="69"/>
      <c r="E677" s="70"/>
      <c r="F677" s="70"/>
      <c r="G677" s="70"/>
    </row>
    <row r="678" spans="1:7" ht="15.75" x14ac:dyDescent="0.25">
      <c r="A678" s="67"/>
      <c r="B678" s="67"/>
      <c r="C678" s="68"/>
      <c r="D678" s="69"/>
      <c r="E678" s="70"/>
      <c r="F678" s="70"/>
      <c r="G678" s="70"/>
    </row>
    <row r="679" spans="1:7" ht="15.75" x14ac:dyDescent="0.25">
      <c r="A679" s="67"/>
      <c r="B679" s="67"/>
      <c r="C679" s="68"/>
      <c r="D679" s="69"/>
      <c r="E679" s="70"/>
      <c r="F679" s="70"/>
      <c r="G679" s="70"/>
    </row>
    <row r="680" spans="1:7" ht="15.75" x14ac:dyDescent="0.25">
      <c r="A680" s="67"/>
      <c r="B680" s="67"/>
      <c r="C680" s="68"/>
      <c r="D680" s="69"/>
      <c r="E680" s="70"/>
      <c r="F680" s="70"/>
      <c r="G680" s="70"/>
    </row>
    <row r="681" spans="1:7" ht="15.75" x14ac:dyDescent="0.25">
      <c r="A681" s="67"/>
      <c r="B681" s="67"/>
      <c r="C681" s="68"/>
      <c r="D681" s="69"/>
      <c r="E681" s="70"/>
      <c r="F681" s="70"/>
      <c r="G681" s="70"/>
    </row>
    <row r="682" spans="1:7" ht="15.75" x14ac:dyDescent="0.25">
      <c r="A682" s="67"/>
      <c r="B682" s="67"/>
      <c r="C682" s="68"/>
      <c r="D682" s="69"/>
      <c r="E682" s="70"/>
      <c r="F682" s="70"/>
      <c r="G682" s="70"/>
    </row>
    <row r="683" spans="1:7" ht="15.75" x14ac:dyDescent="0.25">
      <c r="A683" s="67"/>
      <c r="B683" s="67"/>
      <c r="C683" s="68"/>
      <c r="D683" s="69"/>
      <c r="E683" s="70"/>
      <c r="F683" s="70"/>
      <c r="G683" s="70"/>
    </row>
    <row r="684" spans="1:7" ht="15.75" x14ac:dyDescent="0.25">
      <c r="A684" s="67"/>
      <c r="B684" s="67"/>
      <c r="C684" s="68"/>
      <c r="D684" s="69"/>
      <c r="E684" s="70"/>
      <c r="F684" s="70"/>
      <c r="G684" s="70"/>
    </row>
    <row r="685" spans="1:7" ht="15.75" x14ac:dyDescent="0.25">
      <c r="A685" s="67"/>
      <c r="B685" s="67"/>
      <c r="C685" s="68"/>
      <c r="D685" s="69"/>
      <c r="E685" s="70"/>
      <c r="F685" s="70"/>
      <c r="G685" s="70"/>
    </row>
    <row r="686" spans="1:7" ht="15.75" x14ac:dyDescent="0.25">
      <c r="A686" s="67"/>
      <c r="B686" s="67"/>
      <c r="C686" s="68"/>
      <c r="D686" s="69"/>
      <c r="E686" s="70"/>
      <c r="F686" s="70"/>
      <c r="G686" s="70"/>
    </row>
    <row r="687" spans="1:7" ht="15.75" x14ac:dyDescent="0.25">
      <c r="A687" s="67"/>
      <c r="B687" s="67"/>
      <c r="C687" s="68"/>
      <c r="D687" s="69"/>
      <c r="E687" s="70"/>
      <c r="F687" s="70"/>
      <c r="G687" s="70"/>
    </row>
    <row r="688" spans="1:7" ht="15.75" x14ac:dyDescent="0.25">
      <c r="A688" s="67"/>
      <c r="B688" s="67"/>
      <c r="C688" s="68"/>
      <c r="D688" s="69"/>
      <c r="E688" s="70"/>
      <c r="F688" s="70"/>
      <c r="G688" s="70"/>
    </row>
    <row r="689" spans="1:7" ht="15.75" x14ac:dyDescent="0.25">
      <c r="A689" s="67"/>
      <c r="B689" s="67"/>
      <c r="C689" s="68"/>
      <c r="D689" s="69"/>
      <c r="E689" s="70"/>
      <c r="F689" s="70"/>
      <c r="G689" s="70"/>
    </row>
    <row r="690" spans="1:7" ht="15.75" x14ac:dyDescent="0.25">
      <c r="A690" s="67"/>
      <c r="B690" s="67"/>
      <c r="C690" s="68"/>
      <c r="D690" s="69"/>
      <c r="E690" s="70"/>
      <c r="F690" s="70"/>
      <c r="G690" s="70"/>
    </row>
    <row r="691" spans="1:7" ht="15.75" x14ac:dyDescent="0.25">
      <c r="A691" s="67"/>
      <c r="B691" s="67"/>
      <c r="C691" s="68"/>
      <c r="D691" s="69"/>
      <c r="E691" s="70"/>
      <c r="F691" s="70"/>
      <c r="G691" s="70"/>
    </row>
    <row r="692" spans="1:7" ht="15.75" x14ac:dyDescent="0.25">
      <c r="A692" s="67"/>
      <c r="B692" s="67"/>
      <c r="C692" s="68"/>
      <c r="D692" s="69"/>
      <c r="E692" s="70"/>
      <c r="F692" s="70"/>
      <c r="G692" s="70"/>
    </row>
    <row r="693" spans="1:7" ht="15.75" x14ac:dyDescent="0.25">
      <c r="A693" s="67"/>
      <c r="B693" s="67"/>
      <c r="C693" s="68"/>
      <c r="D693" s="69"/>
      <c r="E693" s="70"/>
      <c r="F693" s="70"/>
      <c r="G693" s="70"/>
    </row>
    <row r="694" spans="1:7" ht="15.75" x14ac:dyDescent="0.25">
      <c r="A694" s="67"/>
      <c r="B694" s="67"/>
      <c r="C694" s="68"/>
      <c r="D694" s="69"/>
      <c r="E694" s="70"/>
      <c r="F694" s="70"/>
      <c r="G694" s="70"/>
    </row>
    <row r="695" spans="1:7" ht="15.75" x14ac:dyDescent="0.25">
      <c r="A695" s="67"/>
      <c r="B695" s="67"/>
      <c r="C695" s="68"/>
      <c r="D695" s="69"/>
      <c r="E695" s="70"/>
      <c r="F695" s="70"/>
      <c r="G695" s="70"/>
    </row>
    <row r="696" spans="1:7" ht="15.75" x14ac:dyDescent="0.25">
      <c r="A696" s="67"/>
      <c r="B696" s="67"/>
      <c r="C696" s="68"/>
      <c r="D696" s="69"/>
      <c r="E696" s="70"/>
      <c r="F696" s="70"/>
      <c r="G696" s="70"/>
    </row>
    <row r="697" spans="1:7" ht="15.75" x14ac:dyDescent="0.25">
      <c r="A697" s="67"/>
      <c r="B697" s="67"/>
      <c r="C697" s="68"/>
      <c r="D697" s="69"/>
      <c r="E697" s="70"/>
      <c r="F697" s="70"/>
      <c r="G697" s="70"/>
    </row>
    <row r="698" spans="1:7" ht="15.75" x14ac:dyDescent="0.25">
      <c r="A698" s="67"/>
      <c r="B698" s="67"/>
      <c r="C698" s="68"/>
      <c r="D698" s="69"/>
      <c r="E698" s="70"/>
      <c r="F698" s="70"/>
      <c r="G698" s="70"/>
    </row>
    <row r="699" spans="1:7" ht="15.75" x14ac:dyDescent="0.25">
      <c r="A699" s="67"/>
      <c r="B699" s="67"/>
      <c r="C699" s="68"/>
      <c r="D699" s="69"/>
      <c r="E699" s="70"/>
      <c r="F699" s="70"/>
      <c r="G699" s="70"/>
    </row>
    <row r="700" spans="1:7" ht="15.75" x14ac:dyDescent="0.25">
      <c r="A700" s="67"/>
      <c r="B700" s="67"/>
      <c r="C700" s="68"/>
      <c r="D700" s="69"/>
      <c r="E700" s="70"/>
      <c r="F700" s="70"/>
      <c r="G700" s="70"/>
    </row>
    <row r="701" spans="1:7" ht="15.75" x14ac:dyDescent="0.25">
      <c r="A701" s="67"/>
      <c r="B701" s="67"/>
      <c r="C701" s="68"/>
      <c r="D701" s="69"/>
      <c r="E701" s="70"/>
      <c r="F701" s="70"/>
      <c r="G701" s="70"/>
    </row>
    <row r="702" spans="1:7" ht="15.75" x14ac:dyDescent="0.25">
      <c r="A702" s="67"/>
      <c r="B702" s="67"/>
      <c r="C702" s="68"/>
      <c r="D702" s="69"/>
      <c r="E702" s="70"/>
      <c r="F702" s="70"/>
      <c r="G702" s="70"/>
    </row>
    <row r="703" spans="1:7" ht="15.75" x14ac:dyDescent="0.25">
      <c r="A703" s="67"/>
      <c r="B703" s="67"/>
      <c r="C703" s="68"/>
      <c r="D703" s="69"/>
      <c r="E703" s="70"/>
      <c r="F703" s="70"/>
      <c r="G703" s="70"/>
    </row>
    <row r="704" spans="1:7" ht="15.75" x14ac:dyDescent="0.25">
      <c r="A704" s="67"/>
      <c r="B704" s="67"/>
      <c r="C704" s="68"/>
      <c r="D704" s="69"/>
      <c r="E704" s="70"/>
      <c r="F704" s="70"/>
      <c r="G704" s="70"/>
    </row>
    <row r="705" spans="1:7" ht="15.75" x14ac:dyDescent="0.25">
      <c r="A705" s="67"/>
      <c r="B705" s="67"/>
      <c r="C705" s="68"/>
      <c r="D705" s="69"/>
      <c r="E705" s="70"/>
      <c r="F705" s="70"/>
      <c r="G705" s="70"/>
    </row>
    <row r="706" spans="1:7" ht="15.75" x14ac:dyDescent="0.25">
      <c r="A706" s="67"/>
      <c r="B706" s="67"/>
      <c r="C706" s="68"/>
      <c r="D706" s="69"/>
      <c r="E706" s="70"/>
      <c r="F706" s="70"/>
      <c r="G706" s="70"/>
    </row>
    <row r="707" spans="1:7" ht="15.75" x14ac:dyDescent="0.25">
      <c r="A707" s="67"/>
      <c r="B707" s="67"/>
      <c r="C707" s="68"/>
      <c r="D707" s="69"/>
      <c r="E707" s="70"/>
      <c r="F707" s="70"/>
      <c r="G707" s="70"/>
    </row>
    <row r="708" spans="1:7" ht="15.75" x14ac:dyDescent="0.25">
      <c r="A708" s="67"/>
      <c r="B708" s="67"/>
      <c r="C708" s="68"/>
      <c r="D708" s="69"/>
      <c r="E708" s="70"/>
      <c r="F708" s="70"/>
      <c r="G708" s="70"/>
    </row>
    <row r="709" spans="1:7" ht="15.75" x14ac:dyDescent="0.25">
      <c r="A709" s="67"/>
      <c r="B709" s="67"/>
      <c r="C709" s="68"/>
      <c r="D709" s="69"/>
      <c r="E709" s="70"/>
      <c r="F709" s="70"/>
      <c r="G709" s="70"/>
    </row>
    <row r="710" spans="1:7" ht="15.75" x14ac:dyDescent="0.25">
      <c r="A710" s="67"/>
      <c r="B710" s="67"/>
      <c r="C710" s="68"/>
      <c r="D710" s="69"/>
      <c r="E710" s="70"/>
      <c r="F710" s="70"/>
      <c r="G710" s="70"/>
    </row>
    <row r="711" spans="1:7" ht="15.75" x14ac:dyDescent="0.25">
      <c r="A711" s="67"/>
      <c r="B711" s="67"/>
      <c r="C711" s="68"/>
      <c r="D711" s="69"/>
      <c r="E711" s="70"/>
      <c r="F711" s="70"/>
      <c r="G711" s="70"/>
    </row>
    <row r="712" spans="1:7" ht="15.75" x14ac:dyDescent="0.25">
      <c r="A712" s="67"/>
      <c r="B712" s="67"/>
      <c r="C712" s="68"/>
      <c r="D712" s="69"/>
      <c r="E712" s="70"/>
      <c r="F712" s="70"/>
      <c r="G712" s="70"/>
    </row>
    <row r="713" spans="1:7" ht="15.75" x14ac:dyDescent="0.25">
      <c r="A713" s="67"/>
      <c r="B713" s="67"/>
      <c r="C713" s="68"/>
      <c r="D713" s="69"/>
      <c r="E713" s="70"/>
      <c r="F713" s="70"/>
      <c r="G713" s="70"/>
    </row>
    <row r="714" spans="1:7" ht="15.75" x14ac:dyDescent="0.25">
      <c r="A714" s="67"/>
      <c r="B714" s="67"/>
      <c r="C714" s="68"/>
      <c r="D714" s="69"/>
      <c r="E714" s="70"/>
      <c r="F714" s="70"/>
      <c r="G714" s="70"/>
    </row>
    <row r="715" spans="1:7" ht="15.75" x14ac:dyDescent="0.25">
      <c r="A715" s="67"/>
      <c r="B715" s="67"/>
      <c r="C715" s="68"/>
      <c r="D715" s="69"/>
      <c r="E715" s="70"/>
      <c r="F715" s="70"/>
      <c r="G715" s="70"/>
    </row>
    <row r="716" spans="1:7" ht="15.75" x14ac:dyDescent="0.25">
      <c r="A716" s="67"/>
      <c r="B716" s="67"/>
      <c r="C716" s="68"/>
      <c r="D716" s="69"/>
      <c r="E716" s="70"/>
      <c r="F716" s="70"/>
      <c r="G716" s="70"/>
    </row>
    <row r="717" spans="1:7" ht="15.75" x14ac:dyDescent="0.25">
      <c r="A717" s="67"/>
      <c r="B717" s="67"/>
      <c r="C717" s="68"/>
      <c r="D717" s="69"/>
      <c r="E717" s="70"/>
      <c r="F717" s="70"/>
      <c r="G717" s="70"/>
    </row>
    <row r="718" spans="1:7" ht="15.75" x14ac:dyDescent="0.25">
      <c r="A718" s="67"/>
      <c r="B718" s="67"/>
      <c r="C718" s="68"/>
      <c r="D718" s="69"/>
      <c r="E718" s="70"/>
      <c r="F718" s="70"/>
      <c r="G718" s="70"/>
    </row>
    <row r="719" spans="1:7" ht="15.75" x14ac:dyDescent="0.25">
      <c r="A719" s="67"/>
      <c r="B719" s="67"/>
      <c r="C719" s="68"/>
      <c r="D719" s="69"/>
      <c r="E719" s="70"/>
      <c r="F719" s="70"/>
      <c r="G719" s="70"/>
    </row>
    <row r="720" spans="1:7" ht="15.75" x14ac:dyDescent="0.25">
      <c r="A720" s="67"/>
      <c r="B720" s="67"/>
      <c r="C720" s="68"/>
      <c r="D720" s="69"/>
      <c r="E720" s="70"/>
      <c r="F720" s="70"/>
      <c r="G720" s="70"/>
    </row>
    <row r="721" spans="1:7" ht="15.75" x14ac:dyDescent="0.25">
      <c r="A721" s="67"/>
      <c r="B721" s="67"/>
      <c r="C721" s="68"/>
      <c r="D721" s="69"/>
      <c r="E721" s="70"/>
      <c r="F721" s="70"/>
      <c r="G721" s="70"/>
    </row>
    <row r="722" spans="1:7" ht="15.75" x14ac:dyDescent="0.25">
      <c r="A722" s="67"/>
      <c r="B722" s="67"/>
      <c r="C722" s="68"/>
      <c r="D722" s="69"/>
      <c r="E722" s="70"/>
      <c r="F722" s="70"/>
      <c r="G722" s="70"/>
    </row>
    <row r="723" spans="1:7" ht="15.75" x14ac:dyDescent="0.25">
      <c r="A723" s="67"/>
      <c r="B723" s="67"/>
      <c r="C723" s="68"/>
      <c r="D723" s="69"/>
      <c r="E723" s="70"/>
      <c r="F723" s="70"/>
      <c r="G723" s="70"/>
    </row>
    <row r="724" spans="1:7" ht="15.75" x14ac:dyDescent="0.25">
      <c r="A724" s="67"/>
      <c r="B724" s="67"/>
      <c r="C724" s="68"/>
      <c r="D724" s="69"/>
      <c r="E724" s="70"/>
      <c r="F724" s="70"/>
      <c r="G724" s="70"/>
    </row>
    <row r="725" spans="1:7" ht="15.75" x14ac:dyDescent="0.25">
      <c r="A725" s="67"/>
      <c r="B725" s="67"/>
      <c r="C725" s="68"/>
      <c r="D725" s="69"/>
      <c r="E725" s="70"/>
      <c r="F725" s="70"/>
      <c r="G725" s="70"/>
    </row>
    <row r="726" spans="1:7" ht="15.75" x14ac:dyDescent="0.25">
      <c r="A726" s="67"/>
      <c r="B726" s="67"/>
      <c r="C726" s="68"/>
      <c r="D726" s="69"/>
      <c r="E726" s="70"/>
      <c r="F726" s="70"/>
      <c r="G726" s="70"/>
    </row>
    <row r="727" spans="1:7" ht="15.75" x14ac:dyDescent="0.25">
      <c r="A727" s="67"/>
      <c r="B727" s="67"/>
      <c r="C727" s="68"/>
      <c r="D727" s="69"/>
      <c r="E727" s="70"/>
      <c r="F727" s="70"/>
      <c r="G727" s="70"/>
    </row>
    <row r="728" spans="1:7" ht="15.75" x14ac:dyDescent="0.25">
      <c r="A728" s="67"/>
      <c r="B728" s="67"/>
      <c r="C728" s="68"/>
      <c r="D728" s="69"/>
      <c r="E728" s="70"/>
      <c r="F728" s="70"/>
      <c r="G728" s="70"/>
    </row>
    <row r="729" spans="1:7" ht="15.75" x14ac:dyDescent="0.25">
      <c r="A729" s="67"/>
      <c r="B729" s="67"/>
      <c r="C729" s="68"/>
      <c r="D729" s="69"/>
      <c r="E729" s="70"/>
      <c r="F729" s="70"/>
      <c r="G729" s="70"/>
    </row>
    <row r="730" spans="1:7" ht="15.75" x14ac:dyDescent="0.25">
      <c r="A730" s="67"/>
      <c r="B730" s="67"/>
      <c r="C730" s="68"/>
      <c r="D730" s="69"/>
      <c r="E730" s="70"/>
      <c r="F730" s="70"/>
      <c r="G730" s="70"/>
    </row>
    <row r="731" spans="1:7" ht="15.75" x14ac:dyDescent="0.25">
      <c r="A731" s="67"/>
      <c r="B731" s="67"/>
      <c r="C731" s="68"/>
      <c r="D731" s="69"/>
      <c r="E731" s="70"/>
      <c r="F731" s="70"/>
      <c r="G731" s="70"/>
    </row>
    <row r="732" spans="1:7" ht="15.75" x14ac:dyDescent="0.25">
      <c r="A732" s="67"/>
      <c r="B732" s="67"/>
      <c r="C732" s="68"/>
      <c r="D732" s="69"/>
      <c r="E732" s="70"/>
      <c r="F732" s="70"/>
      <c r="G732" s="70"/>
    </row>
    <row r="733" spans="1:7" ht="15.75" x14ac:dyDescent="0.25">
      <c r="A733" s="67"/>
      <c r="B733" s="67"/>
      <c r="C733" s="68"/>
      <c r="D733" s="69"/>
      <c r="E733" s="70"/>
      <c r="F733" s="70"/>
      <c r="G733" s="70"/>
    </row>
    <row r="734" spans="1:7" ht="15.75" x14ac:dyDescent="0.25">
      <c r="A734" s="67"/>
      <c r="B734" s="67"/>
      <c r="C734" s="68"/>
      <c r="D734" s="69"/>
      <c r="E734" s="70"/>
      <c r="F734" s="70"/>
      <c r="G734" s="70"/>
    </row>
    <row r="735" spans="1:7" ht="15.75" x14ac:dyDescent="0.25">
      <c r="A735" s="67"/>
      <c r="B735" s="67"/>
      <c r="C735" s="68"/>
      <c r="D735" s="69"/>
      <c r="E735" s="70"/>
      <c r="F735" s="70"/>
      <c r="G735" s="70"/>
    </row>
    <row r="736" spans="1:7" ht="15.75" x14ac:dyDescent="0.25">
      <c r="A736" s="67"/>
      <c r="B736" s="67"/>
      <c r="C736" s="68"/>
      <c r="D736" s="69"/>
      <c r="E736" s="70"/>
      <c r="F736" s="70"/>
      <c r="G736" s="70"/>
    </row>
    <row r="737" spans="1:7" ht="15.75" x14ac:dyDescent="0.25">
      <c r="A737" s="67"/>
      <c r="B737" s="67"/>
      <c r="C737" s="68"/>
      <c r="D737" s="69"/>
      <c r="E737" s="70"/>
      <c r="F737" s="70"/>
      <c r="G737" s="70"/>
    </row>
    <row r="738" spans="1:7" ht="15.75" x14ac:dyDescent="0.25">
      <c r="A738" s="67"/>
      <c r="B738" s="67"/>
      <c r="C738" s="68"/>
      <c r="D738" s="69"/>
      <c r="E738" s="70"/>
      <c r="F738" s="70"/>
      <c r="G738" s="70"/>
    </row>
    <row r="739" spans="1:7" ht="15.75" x14ac:dyDescent="0.25">
      <c r="A739" s="67"/>
      <c r="B739" s="67"/>
      <c r="C739" s="68"/>
      <c r="D739" s="69"/>
      <c r="E739" s="70"/>
      <c r="F739" s="70"/>
      <c r="G739" s="70"/>
    </row>
    <row r="740" spans="1:7" ht="15.75" x14ac:dyDescent="0.25">
      <c r="A740" s="67"/>
      <c r="B740" s="67"/>
      <c r="C740" s="68"/>
      <c r="D740" s="69"/>
      <c r="E740" s="70"/>
      <c r="F740" s="70"/>
      <c r="G740" s="70"/>
    </row>
    <row r="741" spans="1:7" ht="15.75" x14ac:dyDescent="0.25">
      <c r="A741" s="67"/>
      <c r="B741" s="67"/>
      <c r="C741" s="68"/>
      <c r="D741" s="69"/>
      <c r="E741" s="70"/>
      <c r="F741" s="70"/>
      <c r="G741" s="70"/>
    </row>
    <row r="742" spans="1:7" ht="15.75" x14ac:dyDescent="0.25">
      <c r="A742" s="67"/>
      <c r="B742" s="67"/>
      <c r="C742" s="68"/>
      <c r="D742" s="69"/>
      <c r="E742" s="70"/>
      <c r="F742" s="70"/>
      <c r="G742" s="70"/>
    </row>
    <row r="743" spans="1:7" ht="15.75" x14ac:dyDescent="0.25">
      <c r="A743" s="67"/>
      <c r="B743" s="67"/>
      <c r="C743" s="68"/>
      <c r="D743" s="69"/>
      <c r="E743" s="70"/>
      <c r="F743" s="70"/>
      <c r="G743" s="70"/>
    </row>
    <row r="744" spans="1:7" ht="15.75" x14ac:dyDescent="0.25">
      <c r="A744" s="67"/>
      <c r="B744" s="67"/>
      <c r="C744" s="68"/>
      <c r="D744" s="69"/>
      <c r="E744" s="70"/>
      <c r="F744" s="70"/>
      <c r="G744" s="70"/>
    </row>
    <row r="745" spans="1:7" ht="15.75" x14ac:dyDescent="0.25">
      <c r="A745" s="67"/>
      <c r="B745" s="67"/>
      <c r="C745" s="68"/>
      <c r="D745" s="69"/>
      <c r="E745" s="70"/>
      <c r="F745" s="70"/>
      <c r="G745" s="70"/>
    </row>
    <row r="746" spans="1:7" ht="15.75" x14ac:dyDescent="0.25">
      <c r="A746" s="67"/>
      <c r="B746" s="67"/>
      <c r="C746" s="68"/>
      <c r="D746" s="69"/>
      <c r="E746" s="70"/>
      <c r="F746" s="70"/>
      <c r="G746" s="70"/>
    </row>
    <row r="747" spans="1:7" ht="15.75" x14ac:dyDescent="0.25">
      <c r="A747" s="67"/>
      <c r="B747" s="67"/>
      <c r="C747" s="68"/>
      <c r="D747" s="69"/>
      <c r="E747" s="70"/>
      <c r="F747" s="70"/>
      <c r="G747" s="70"/>
    </row>
    <row r="748" spans="1:7" ht="15.75" x14ac:dyDescent="0.25">
      <c r="A748" s="67"/>
      <c r="B748" s="67"/>
      <c r="C748" s="68"/>
      <c r="D748" s="69"/>
      <c r="E748" s="70"/>
      <c r="F748" s="70"/>
      <c r="G748" s="70"/>
    </row>
    <row r="749" spans="1:7" ht="15.75" x14ac:dyDescent="0.25">
      <c r="A749" s="67"/>
      <c r="B749" s="67"/>
      <c r="C749" s="68"/>
      <c r="D749" s="69"/>
      <c r="E749" s="70"/>
      <c r="F749" s="70"/>
      <c r="G749" s="70"/>
    </row>
    <row r="750" spans="1:7" ht="15.75" x14ac:dyDescent="0.25">
      <c r="A750" s="67"/>
      <c r="B750" s="67"/>
      <c r="C750" s="68"/>
      <c r="D750" s="69"/>
      <c r="E750" s="70"/>
      <c r="F750" s="70"/>
      <c r="G750" s="70"/>
    </row>
    <row r="751" spans="1:7" ht="15.75" x14ac:dyDescent="0.25">
      <c r="A751" s="67"/>
      <c r="B751" s="67"/>
      <c r="C751" s="68"/>
      <c r="D751" s="69"/>
      <c r="E751" s="70"/>
      <c r="F751" s="70"/>
      <c r="G751" s="70"/>
    </row>
    <row r="752" spans="1:7" ht="15.75" x14ac:dyDescent="0.25">
      <c r="A752" s="67"/>
      <c r="B752" s="67"/>
      <c r="C752" s="68"/>
      <c r="D752" s="69"/>
      <c r="E752" s="70"/>
      <c r="F752" s="70"/>
      <c r="G752" s="70"/>
    </row>
    <row r="753" spans="1:7" ht="15.75" x14ac:dyDescent="0.25">
      <c r="A753" s="67"/>
      <c r="B753" s="67"/>
      <c r="C753" s="68"/>
      <c r="D753" s="69"/>
      <c r="E753" s="70"/>
      <c r="F753" s="70"/>
      <c r="G753" s="70"/>
    </row>
    <row r="754" spans="1:7" ht="15.75" x14ac:dyDescent="0.25">
      <c r="A754" s="67"/>
      <c r="B754" s="67"/>
      <c r="C754" s="68"/>
      <c r="D754" s="69"/>
      <c r="E754" s="70"/>
      <c r="F754" s="70"/>
      <c r="G754" s="70"/>
    </row>
    <row r="755" spans="1:7" ht="15.75" x14ac:dyDescent="0.25">
      <c r="A755" s="67"/>
      <c r="B755" s="67"/>
      <c r="C755" s="68"/>
      <c r="D755" s="69"/>
      <c r="E755" s="70"/>
      <c r="F755" s="70"/>
      <c r="G755" s="70"/>
    </row>
    <row r="756" spans="1:7" ht="15.75" x14ac:dyDescent="0.25">
      <c r="A756" s="67"/>
      <c r="B756" s="67"/>
      <c r="C756" s="68"/>
      <c r="D756" s="69"/>
      <c r="E756" s="70"/>
      <c r="F756" s="70"/>
      <c r="G756" s="70"/>
    </row>
    <row r="757" spans="1:7" ht="15.75" x14ac:dyDescent="0.25">
      <c r="A757" s="67"/>
      <c r="B757" s="67"/>
      <c r="C757" s="68"/>
      <c r="D757" s="69"/>
      <c r="E757" s="70"/>
      <c r="F757" s="70"/>
      <c r="G757" s="70"/>
    </row>
    <row r="758" spans="1:7" ht="15.75" x14ac:dyDescent="0.25">
      <c r="A758" s="67"/>
      <c r="B758" s="67"/>
      <c r="C758" s="68"/>
      <c r="D758" s="69"/>
      <c r="E758" s="70"/>
      <c r="F758" s="70"/>
      <c r="G758" s="70"/>
    </row>
    <row r="759" spans="1:7" ht="15.75" x14ac:dyDescent="0.25">
      <c r="A759" s="67"/>
      <c r="B759" s="67"/>
      <c r="C759" s="68"/>
      <c r="D759" s="69"/>
      <c r="E759" s="70"/>
      <c r="F759" s="70"/>
      <c r="G759" s="70"/>
    </row>
    <row r="760" spans="1:7" ht="15.75" x14ac:dyDescent="0.25">
      <c r="A760" s="67"/>
      <c r="B760" s="67"/>
      <c r="C760" s="68"/>
      <c r="D760" s="69"/>
      <c r="E760" s="70"/>
      <c r="F760" s="70"/>
      <c r="G760" s="70"/>
    </row>
    <row r="761" spans="1:7" ht="15.75" x14ac:dyDescent="0.25">
      <c r="A761" s="67"/>
      <c r="B761" s="67"/>
      <c r="C761" s="68"/>
      <c r="D761" s="69"/>
      <c r="E761" s="70"/>
      <c r="F761" s="70"/>
      <c r="G761" s="70"/>
    </row>
    <row r="762" spans="1:7" ht="15.75" x14ac:dyDescent="0.25">
      <c r="A762" s="67"/>
      <c r="B762" s="67"/>
      <c r="C762" s="68"/>
      <c r="D762" s="69"/>
      <c r="E762" s="70"/>
      <c r="F762" s="70"/>
      <c r="G762" s="70"/>
    </row>
    <row r="763" spans="1:7" ht="15.75" x14ac:dyDescent="0.25">
      <c r="A763" s="67"/>
      <c r="B763" s="67"/>
      <c r="C763" s="68"/>
      <c r="D763" s="69"/>
      <c r="E763" s="70"/>
      <c r="F763" s="70"/>
      <c r="G763" s="70"/>
    </row>
    <row r="764" spans="1:7" ht="15.75" x14ac:dyDescent="0.25">
      <c r="A764" s="67"/>
      <c r="B764" s="67"/>
      <c r="C764" s="68"/>
      <c r="D764" s="69"/>
      <c r="E764" s="70"/>
      <c r="F764" s="70"/>
      <c r="G764" s="70"/>
    </row>
    <row r="765" spans="1:7" ht="15.75" x14ac:dyDescent="0.25">
      <c r="A765" s="67"/>
      <c r="B765" s="67"/>
      <c r="C765" s="68"/>
      <c r="D765" s="69"/>
      <c r="E765" s="70"/>
      <c r="F765" s="70"/>
      <c r="G765" s="70"/>
    </row>
    <row r="766" spans="1:7" ht="15.75" x14ac:dyDescent="0.25">
      <c r="A766" s="67"/>
      <c r="B766" s="67"/>
      <c r="C766" s="68"/>
      <c r="D766" s="69"/>
      <c r="E766" s="70"/>
      <c r="F766" s="70"/>
      <c r="G766" s="70"/>
    </row>
    <row r="767" spans="1:7" ht="15.75" x14ac:dyDescent="0.25">
      <c r="A767" s="67"/>
      <c r="B767" s="67"/>
      <c r="C767" s="68"/>
      <c r="D767" s="69"/>
      <c r="E767" s="70"/>
      <c r="F767" s="70"/>
      <c r="G767" s="70"/>
    </row>
    <row r="768" spans="1:7" ht="15.75" x14ac:dyDescent="0.25">
      <c r="A768" s="67"/>
      <c r="B768" s="67"/>
      <c r="C768" s="68"/>
      <c r="D768" s="69"/>
      <c r="E768" s="70"/>
      <c r="F768" s="70"/>
      <c r="G768" s="70"/>
    </row>
    <row r="769" spans="1:7" ht="15.75" x14ac:dyDescent="0.25">
      <c r="A769" s="67"/>
      <c r="B769" s="67"/>
      <c r="C769" s="68"/>
      <c r="D769" s="69"/>
      <c r="E769" s="70"/>
      <c r="F769" s="70"/>
      <c r="G769" s="70"/>
    </row>
    <row r="770" spans="1:7" ht="15.75" x14ac:dyDescent="0.25">
      <c r="A770" s="67"/>
      <c r="B770" s="67"/>
      <c r="C770" s="68"/>
      <c r="D770" s="69"/>
      <c r="E770" s="70"/>
      <c r="F770" s="70"/>
      <c r="G770" s="70"/>
    </row>
    <row r="771" spans="1:7" ht="15.75" x14ac:dyDescent="0.25">
      <c r="A771" s="67"/>
      <c r="B771" s="67"/>
      <c r="C771" s="68"/>
      <c r="D771" s="69"/>
      <c r="E771" s="70"/>
      <c r="F771" s="70"/>
      <c r="G771" s="70"/>
    </row>
    <row r="772" spans="1:7" ht="15.75" x14ac:dyDescent="0.25">
      <c r="A772" s="67"/>
      <c r="B772" s="67"/>
      <c r="C772" s="68"/>
      <c r="D772" s="69"/>
      <c r="E772" s="70"/>
      <c r="F772" s="70"/>
      <c r="G772" s="70"/>
    </row>
    <row r="773" spans="1:7" ht="15.75" x14ac:dyDescent="0.25">
      <c r="A773" s="67"/>
      <c r="B773" s="67"/>
      <c r="C773" s="68"/>
      <c r="D773" s="69"/>
      <c r="E773" s="70"/>
      <c r="F773" s="70"/>
      <c r="G773" s="70"/>
    </row>
    <row r="774" spans="1:7" ht="15.75" x14ac:dyDescent="0.25">
      <c r="A774" s="67"/>
      <c r="B774" s="67"/>
      <c r="C774" s="68"/>
      <c r="D774" s="69"/>
      <c r="E774" s="70"/>
      <c r="F774" s="70"/>
      <c r="G774" s="70"/>
    </row>
    <row r="775" spans="1:7" ht="15.75" x14ac:dyDescent="0.25">
      <c r="A775" s="67"/>
      <c r="B775" s="67"/>
      <c r="C775" s="68"/>
      <c r="D775" s="69"/>
      <c r="E775" s="70"/>
      <c r="F775" s="70"/>
      <c r="G775" s="70"/>
    </row>
    <row r="776" spans="1:7" ht="15.75" x14ac:dyDescent="0.25">
      <c r="A776" s="67"/>
      <c r="B776" s="67"/>
      <c r="C776" s="68"/>
      <c r="D776" s="69"/>
      <c r="E776" s="70"/>
      <c r="F776" s="70"/>
      <c r="G776" s="70"/>
    </row>
    <row r="777" spans="1:7" ht="15.75" x14ac:dyDescent="0.25">
      <c r="A777" s="67"/>
      <c r="B777" s="67"/>
      <c r="C777" s="68"/>
      <c r="D777" s="69"/>
      <c r="E777" s="70"/>
      <c r="F777" s="70"/>
      <c r="G777" s="70"/>
    </row>
    <row r="778" spans="1:7" ht="15.75" x14ac:dyDescent="0.25">
      <c r="A778" s="67"/>
      <c r="B778" s="67"/>
      <c r="C778" s="68"/>
      <c r="D778" s="69"/>
      <c r="E778" s="70"/>
      <c r="F778" s="70"/>
      <c r="G778" s="70"/>
    </row>
    <row r="779" spans="1:7" ht="15.75" x14ac:dyDescent="0.25">
      <c r="A779" s="67"/>
      <c r="B779" s="67"/>
      <c r="C779" s="68"/>
      <c r="D779" s="69"/>
      <c r="E779" s="70"/>
      <c r="F779" s="70"/>
      <c r="G779" s="70"/>
    </row>
    <row r="780" spans="1:7" ht="15.75" x14ac:dyDescent="0.25">
      <c r="A780" s="67"/>
      <c r="B780" s="67"/>
      <c r="C780" s="68"/>
      <c r="D780" s="69"/>
      <c r="E780" s="70"/>
      <c r="F780" s="70"/>
      <c r="G780" s="70"/>
    </row>
    <row r="781" spans="1:7" ht="15.75" x14ac:dyDescent="0.25">
      <c r="A781" s="67"/>
      <c r="B781" s="67"/>
      <c r="C781" s="68"/>
      <c r="D781" s="69"/>
      <c r="E781" s="70"/>
      <c r="F781" s="70"/>
      <c r="G781" s="70"/>
    </row>
    <row r="782" spans="1:7" ht="15.75" x14ac:dyDescent="0.25">
      <c r="A782" s="67"/>
      <c r="B782" s="67"/>
      <c r="C782" s="68"/>
      <c r="D782" s="69"/>
      <c r="E782" s="70"/>
      <c r="F782" s="70"/>
      <c r="G782" s="70"/>
    </row>
    <row r="783" spans="1:7" ht="15.75" x14ac:dyDescent="0.25">
      <c r="A783" s="67"/>
      <c r="B783" s="67"/>
      <c r="C783" s="68"/>
      <c r="D783" s="69"/>
      <c r="E783" s="70"/>
      <c r="F783" s="70"/>
      <c r="G783" s="70"/>
    </row>
    <row r="784" spans="1:7" ht="15.75" x14ac:dyDescent="0.25">
      <c r="A784" s="67"/>
      <c r="B784" s="67"/>
      <c r="C784" s="68"/>
      <c r="D784" s="69"/>
      <c r="E784" s="70"/>
      <c r="F784" s="70"/>
      <c r="G784" s="70"/>
    </row>
    <row r="785" spans="1:7" ht="15.75" x14ac:dyDescent="0.25">
      <c r="A785" s="67"/>
      <c r="B785" s="67"/>
      <c r="C785" s="68"/>
      <c r="D785" s="69"/>
      <c r="E785" s="70"/>
      <c r="F785" s="70"/>
      <c r="G785" s="70"/>
    </row>
    <row r="786" spans="1:7" ht="15.75" x14ac:dyDescent="0.25">
      <c r="A786" s="67"/>
      <c r="B786" s="67"/>
      <c r="C786" s="68"/>
      <c r="D786" s="69"/>
      <c r="E786" s="70"/>
      <c r="F786" s="70"/>
      <c r="G786" s="70"/>
    </row>
    <row r="787" spans="1:7" ht="15.75" x14ac:dyDescent="0.25">
      <c r="A787" s="67"/>
      <c r="B787" s="67"/>
      <c r="C787" s="68"/>
      <c r="D787" s="69"/>
      <c r="E787" s="70"/>
      <c r="F787" s="70"/>
      <c r="G787" s="70"/>
    </row>
    <row r="788" spans="1:7" ht="15.75" x14ac:dyDescent="0.25">
      <c r="A788" s="67"/>
      <c r="B788" s="67"/>
      <c r="C788" s="68"/>
      <c r="D788" s="69"/>
      <c r="E788" s="70"/>
      <c r="F788" s="70"/>
      <c r="G788" s="70"/>
    </row>
    <row r="789" spans="1:7" ht="15.75" x14ac:dyDescent="0.25">
      <c r="A789" s="67"/>
      <c r="B789" s="67"/>
      <c r="C789" s="68"/>
      <c r="D789" s="69"/>
      <c r="E789" s="70"/>
      <c r="F789" s="70"/>
      <c r="G789" s="70"/>
    </row>
    <row r="790" spans="1:7" ht="15.75" x14ac:dyDescent="0.25">
      <c r="A790" s="67"/>
      <c r="B790" s="67"/>
      <c r="C790" s="68"/>
      <c r="D790" s="69"/>
      <c r="E790" s="70"/>
      <c r="F790" s="70"/>
      <c r="G790" s="70"/>
    </row>
    <row r="791" spans="1:7" ht="15.75" x14ac:dyDescent="0.25">
      <c r="A791" s="67"/>
      <c r="B791" s="67"/>
      <c r="C791" s="68"/>
      <c r="D791" s="69"/>
      <c r="E791" s="70"/>
      <c r="F791" s="70"/>
      <c r="G791" s="70"/>
    </row>
    <row r="792" spans="1:7" ht="15.75" x14ac:dyDescent="0.25">
      <c r="A792" s="67"/>
      <c r="B792" s="67"/>
      <c r="C792" s="68"/>
      <c r="D792" s="69"/>
      <c r="E792" s="70"/>
      <c r="F792" s="70"/>
      <c r="G792" s="70"/>
    </row>
    <row r="793" spans="1:7" ht="15.75" x14ac:dyDescent="0.25">
      <c r="A793" s="67"/>
      <c r="B793" s="67"/>
      <c r="C793" s="68"/>
      <c r="D793" s="69"/>
      <c r="E793" s="70"/>
      <c r="F793" s="70"/>
      <c r="G793" s="70"/>
    </row>
    <row r="794" spans="1:7" ht="15.75" x14ac:dyDescent="0.25">
      <c r="A794" s="67"/>
      <c r="B794" s="67"/>
      <c r="C794" s="68"/>
      <c r="D794" s="69"/>
      <c r="E794" s="70"/>
      <c r="F794" s="70"/>
      <c r="G794" s="70"/>
    </row>
    <row r="795" spans="1:7" ht="15.75" x14ac:dyDescent="0.25">
      <c r="A795" s="67"/>
      <c r="B795" s="67"/>
      <c r="C795" s="68"/>
      <c r="D795" s="69"/>
      <c r="E795" s="70"/>
      <c r="F795" s="70"/>
      <c r="G795" s="70"/>
    </row>
    <row r="796" spans="1:7" ht="15.75" x14ac:dyDescent="0.25">
      <c r="A796" s="67"/>
      <c r="B796" s="67"/>
      <c r="C796" s="68"/>
      <c r="D796" s="69"/>
      <c r="E796" s="70"/>
      <c r="F796" s="70"/>
      <c r="G796" s="70"/>
    </row>
    <row r="797" spans="1:7" ht="15.75" x14ac:dyDescent="0.25">
      <c r="A797" s="67"/>
      <c r="B797" s="67"/>
      <c r="C797" s="68"/>
      <c r="D797" s="69"/>
      <c r="E797" s="70"/>
      <c r="F797" s="70"/>
      <c r="G797" s="70"/>
    </row>
    <row r="798" spans="1:7" ht="15.75" x14ac:dyDescent="0.25">
      <c r="A798" s="67"/>
      <c r="B798" s="67"/>
      <c r="C798" s="68"/>
      <c r="D798" s="69"/>
      <c r="E798" s="70"/>
      <c r="F798" s="70"/>
      <c r="G798" s="70"/>
    </row>
    <row r="799" spans="1:7" ht="15.75" x14ac:dyDescent="0.25">
      <c r="A799" s="67"/>
      <c r="B799" s="67"/>
      <c r="C799" s="68"/>
      <c r="D799" s="69"/>
      <c r="E799" s="70"/>
      <c r="F799" s="70"/>
      <c r="G799" s="70"/>
    </row>
    <row r="800" spans="1:7" ht="15.75" x14ac:dyDescent="0.25">
      <c r="A800" s="67"/>
      <c r="B800" s="67"/>
      <c r="C800" s="68"/>
      <c r="D800" s="69"/>
      <c r="E800" s="70"/>
      <c r="F800" s="70"/>
      <c r="G800" s="70"/>
    </row>
    <row r="801" spans="1:7" ht="15.75" x14ac:dyDescent="0.25">
      <c r="A801" s="67"/>
      <c r="B801" s="67"/>
      <c r="C801" s="68"/>
      <c r="D801" s="69"/>
      <c r="E801" s="70"/>
      <c r="F801" s="70"/>
      <c r="G801" s="70"/>
    </row>
    <row r="802" spans="1:7" ht="15.75" x14ac:dyDescent="0.25">
      <c r="A802" s="67"/>
      <c r="B802" s="67"/>
      <c r="C802" s="68"/>
      <c r="D802" s="69"/>
      <c r="E802" s="70"/>
      <c r="F802" s="70"/>
      <c r="G802" s="70"/>
    </row>
    <row r="803" spans="1:7" ht="15.75" x14ac:dyDescent="0.25">
      <c r="A803" s="67"/>
      <c r="B803" s="67"/>
      <c r="C803" s="68"/>
      <c r="D803" s="69"/>
      <c r="E803" s="70"/>
      <c r="F803" s="70"/>
      <c r="G803" s="70"/>
    </row>
    <row r="804" spans="1:7" ht="15.75" x14ac:dyDescent="0.25">
      <c r="A804" s="67"/>
      <c r="B804" s="67"/>
      <c r="C804" s="68"/>
      <c r="D804" s="69"/>
      <c r="E804" s="70"/>
      <c r="F804" s="70"/>
      <c r="G804" s="70"/>
    </row>
    <row r="805" spans="1:7" ht="15.75" x14ac:dyDescent="0.25">
      <c r="A805" s="67"/>
      <c r="B805" s="67"/>
      <c r="C805" s="68"/>
      <c r="D805" s="69"/>
      <c r="E805" s="70"/>
      <c r="F805" s="70"/>
      <c r="G805" s="70"/>
    </row>
    <row r="806" spans="1:7" ht="15.75" x14ac:dyDescent="0.25">
      <c r="A806" s="67"/>
      <c r="B806" s="67"/>
      <c r="C806" s="68"/>
      <c r="D806" s="69"/>
      <c r="E806" s="70"/>
      <c r="F806" s="70"/>
      <c r="G806" s="70"/>
    </row>
    <row r="807" spans="1:7" ht="15.75" x14ac:dyDescent="0.25">
      <c r="A807" s="67"/>
      <c r="B807" s="67"/>
      <c r="C807" s="68"/>
      <c r="D807" s="69"/>
      <c r="E807" s="70"/>
      <c r="F807" s="70"/>
      <c r="G807" s="70"/>
    </row>
    <row r="808" spans="1:7" ht="15.75" x14ac:dyDescent="0.25">
      <c r="A808" s="67"/>
      <c r="B808" s="67"/>
      <c r="C808" s="68"/>
      <c r="D808" s="69"/>
      <c r="E808" s="70"/>
      <c r="F808" s="70"/>
      <c r="G808" s="70"/>
    </row>
    <row r="809" spans="1:7" ht="15.75" x14ac:dyDescent="0.25">
      <c r="A809" s="67"/>
      <c r="B809" s="67"/>
      <c r="C809" s="68"/>
      <c r="D809" s="69"/>
      <c r="E809" s="70"/>
      <c r="F809" s="70"/>
      <c r="G809" s="70"/>
    </row>
    <row r="810" spans="1:7" ht="15.75" x14ac:dyDescent="0.25">
      <c r="A810" s="67"/>
      <c r="B810" s="67"/>
      <c r="C810" s="68"/>
      <c r="D810" s="69"/>
      <c r="E810" s="70"/>
      <c r="F810" s="70"/>
      <c r="G810" s="70"/>
    </row>
    <row r="811" spans="1:7" ht="15.75" x14ac:dyDescent="0.25">
      <c r="A811" s="67"/>
      <c r="B811" s="67"/>
      <c r="C811" s="68"/>
      <c r="D811" s="69"/>
      <c r="E811" s="70"/>
      <c r="F811" s="70"/>
      <c r="G811" s="70"/>
    </row>
    <row r="812" spans="1:7" ht="15.75" x14ac:dyDescent="0.25">
      <c r="A812" s="67"/>
      <c r="B812" s="67"/>
      <c r="C812" s="68"/>
      <c r="D812" s="69"/>
      <c r="E812" s="70"/>
      <c r="F812" s="70"/>
      <c r="G812" s="70"/>
    </row>
    <row r="813" spans="1:7" ht="15.75" x14ac:dyDescent="0.25">
      <c r="A813" s="67"/>
      <c r="B813" s="67"/>
      <c r="C813" s="68"/>
      <c r="D813" s="69"/>
      <c r="E813" s="70"/>
      <c r="F813" s="70"/>
      <c r="G813" s="70"/>
    </row>
    <row r="814" spans="1:7" ht="15.75" x14ac:dyDescent="0.25">
      <c r="A814" s="67"/>
      <c r="B814" s="67"/>
      <c r="C814" s="68"/>
      <c r="D814" s="69"/>
      <c r="E814" s="70"/>
      <c r="F814" s="70"/>
      <c r="G814" s="70"/>
    </row>
    <row r="815" spans="1:7" ht="15.75" x14ac:dyDescent="0.25">
      <c r="A815" s="67"/>
      <c r="B815" s="67"/>
      <c r="C815" s="68"/>
      <c r="D815" s="69"/>
      <c r="F815" s="70"/>
      <c r="G815" s="70"/>
    </row>
  </sheetData>
  <sortState ref="A29:AA155">
    <sortCondition descending="1" ref="C29:C155"/>
  </sortState>
  <mergeCells count="2">
    <mergeCell ref="A25:E27"/>
    <mergeCell ref="C17:D17"/>
  </mergeCells>
  <printOptions horizontalCentered="1"/>
  <pageMargins left="0" right="0" top="0" bottom="0" header="0" footer="0"/>
  <pageSetup paperSize="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K198"/>
  <sheetViews>
    <sheetView showGridLines="0" showRowColHeaders="0" workbookViewId="0">
      <selection activeCell="A17" sqref="A17:K72"/>
    </sheetView>
  </sheetViews>
  <sheetFormatPr baseColWidth="10" defaultRowHeight="15" x14ac:dyDescent="0.25"/>
  <cols>
    <col min="1" max="1" width="12.28515625" style="37" customWidth="1"/>
    <col min="2" max="2" width="11.42578125" style="37" customWidth="1"/>
    <col min="3" max="3" width="27.140625" style="37" customWidth="1"/>
    <col min="4" max="4" width="24.28515625" style="37" customWidth="1"/>
    <col min="5" max="5" width="20.7109375" style="37" customWidth="1"/>
    <col min="6" max="6" width="32.140625" style="37" customWidth="1"/>
    <col min="7" max="8" width="33.42578125" style="37" customWidth="1"/>
    <col min="9" max="9" width="13" style="37" customWidth="1"/>
    <col min="10" max="10" width="11.42578125" style="37"/>
    <col min="11" max="11" width="35" style="37" customWidth="1"/>
    <col min="12" max="16384" width="11.42578125" style="25"/>
  </cols>
  <sheetData>
    <row r="1" spans="1:1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</row>
    <row r="8" spans="1:1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</row>
    <row r="9" spans="1:1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</row>
    <row r="10" spans="1:11" ht="31.5" x14ac:dyDescent="0.25">
      <c r="A10" s="72" t="s">
        <v>1</v>
      </c>
      <c r="B10" s="72" t="s">
        <v>179</v>
      </c>
      <c r="C10" s="72" t="s">
        <v>178</v>
      </c>
      <c r="D10" s="72" t="s">
        <v>177</v>
      </c>
      <c r="E10" s="72" t="s">
        <v>176</v>
      </c>
      <c r="F10" s="72" t="s">
        <v>175</v>
      </c>
      <c r="G10" s="72" t="s">
        <v>195</v>
      </c>
      <c r="H10" s="72" t="s">
        <v>174</v>
      </c>
      <c r="I10" s="7"/>
      <c r="J10" s="7"/>
      <c r="K10" s="18"/>
    </row>
    <row r="11" spans="1:11" ht="15.75" x14ac:dyDescent="0.25">
      <c r="A11" s="77"/>
      <c r="B11" s="78"/>
      <c r="C11" s="79"/>
      <c r="D11" s="80"/>
      <c r="E11" s="80"/>
      <c r="F11" s="80"/>
      <c r="G11" s="80"/>
      <c r="H11" s="80"/>
      <c r="I11" s="7"/>
      <c r="J11" s="7"/>
      <c r="K11" s="7"/>
    </row>
    <row r="12" spans="1:11" ht="15.75" thickBo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1" ht="23.25" customHeight="1" x14ac:dyDescent="0.25">
      <c r="A13" s="233" t="s">
        <v>912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5"/>
    </row>
    <row r="14" spans="1:11" ht="23.25" customHeight="1" x14ac:dyDescent="0.25">
      <c r="A14" s="236"/>
      <c r="B14" s="237"/>
      <c r="C14" s="237"/>
      <c r="D14" s="237"/>
      <c r="E14" s="237"/>
      <c r="F14" s="237"/>
      <c r="G14" s="237"/>
      <c r="H14" s="237"/>
      <c r="I14" s="237"/>
      <c r="J14" s="237"/>
      <c r="K14" s="238"/>
    </row>
    <row r="15" spans="1:11" ht="23.25" customHeight="1" thickBot="1" x14ac:dyDescent="0.3">
      <c r="A15" s="239"/>
      <c r="B15" s="240"/>
      <c r="C15" s="240"/>
      <c r="D15" s="240"/>
      <c r="E15" s="240"/>
      <c r="F15" s="240"/>
      <c r="G15" s="240"/>
      <c r="H15" s="240"/>
      <c r="I15" s="240"/>
      <c r="J15" s="240"/>
      <c r="K15" s="241"/>
    </row>
    <row r="16" spans="1:11" ht="38.25" customHeight="1" x14ac:dyDescent="0.25">
      <c r="A16" s="75" t="s">
        <v>1</v>
      </c>
      <c r="B16" s="75" t="s">
        <v>179</v>
      </c>
      <c r="C16" s="75" t="s">
        <v>178</v>
      </c>
      <c r="D16" s="75" t="s">
        <v>177</v>
      </c>
      <c r="E16" s="75" t="s">
        <v>176</v>
      </c>
      <c r="F16" s="75" t="s">
        <v>175</v>
      </c>
      <c r="G16" s="75" t="s">
        <v>195</v>
      </c>
      <c r="H16" s="75" t="s">
        <v>174</v>
      </c>
      <c r="I16" s="75" t="s">
        <v>173</v>
      </c>
      <c r="J16" s="75" t="s">
        <v>913</v>
      </c>
      <c r="K16" s="76" t="s">
        <v>13</v>
      </c>
    </row>
    <row r="17" spans="1:11" ht="15.75" x14ac:dyDescent="0.25">
      <c r="A17" s="81"/>
      <c r="B17" s="82"/>
      <c r="C17" s="83"/>
      <c r="D17" s="84"/>
      <c r="E17" s="84"/>
      <c r="F17" s="84"/>
      <c r="G17" s="84"/>
      <c r="H17" s="84"/>
      <c r="I17" s="84"/>
      <c r="J17" s="84"/>
      <c r="K17" s="84"/>
    </row>
    <row r="18" spans="1:11" ht="15.75" x14ac:dyDescent="0.25">
      <c r="A18" s="81"/>
      <c r="B18" s="82"/>
      <c r="C18" s="83"/>
      <c r="D18" s="84"/>
      <c r="E18" s="84"/>
      <c r="F18" s="84"/>
      <c r="G18" s="84"/>
      <c r="H18" s="84"/>
      <c r="I18" s="84"/>
      <c r="J18" s="84"/>
      <c r="K18" s="84"/>
    </row>
    <row r="19" spans="1:11" ht="15.75" x14ac:dyDescent="0.25">
      <c r="A19" s="81"/>
      <c r="B19" s="82"/>
      <c r="C19" s="83"/>
      <c r="D19" s="84"/>
      <c r="E19" s="84"/>
      <c r="F19" s="84"/>
      <c r="G19" s="84"/>
      <c r="H19" s="84"/>
      <c r="I19" s="84"/>
      <c r="J19" s="84"/>
      <c r="K19" s="84"/>
    </row>
    <row r="20" spans="1:11" ht="15.75" x14ac:dyDescent="0.25">
      <c r="A20" s="81"/>
      <c r="B20" s="82"/>
      <c r="C20" s="83"/>
      <c r="D20" s="84"/>
      <c r="E20" s="84"/>
      <c r="F20" s="84"/>
      <c r="G20" s="84"/>
      <c r="H20" s="84"/>
      <c r="I20" s="84"/>
      <c r="J20" s="84"/>
      <c r="K20" s="84"/>
    </row>
    <row r="21" spans="1:11" ht="15.75" x14ac:dyDescent="0.25">
      <c r="A21" s="81"/>
      <c r="B21" s="82"/>
      <c r="C21" s="83"/>
      <c r="D21" s="84"/>
      <c r="E21" s="84"/>
      <c r="F21" s="84"/>
      <c r="G21" s="84"/>
      <c r="H21" s="84"/>
      <c r="I21" s="84"/>
      <c r="J21" s="84"/>
      <c r="K21" s="84"/>
    </row>
    <row r="22" spans="1:11" ht="15.75" x14ac:dyDescent="0.25">
      <c r="A22" s="81"/>
      <c r="B22" s="82"/>
      <c r="C22" s="83"/>
      <c r="D22" s="84"/>
      <c r="E22" s="84"/>
      <c r="F22" s="84"/>
      <c r="G22" s="84"/>
      <c r="H22" s="84"/>
      <c r="I22" s="84"/>
      <c r="J22" s="84"/>
      <c r="K22" s="84"/>
    </row>
    <row r="23" spans="1:11" ht="15.75" x14ac:dyDescent="0.25">
      <c r="A23" s="81"/>
      <c r="B23" s="82"/>
      <c r="C23" s="83"/>
      <c r="D23" s="84"/>
      <c r="E23" s="84"/>
      <c r="F23" s="84"/>
      <c r="G23" s="84"/>
      <c r="H23" s="84"/>
      <c r="I23" s="84"/>
      <c r="J23" s="84"/>
      <c r="K23" s="84"/>
    </row>
    <row r="24" spans="1:11" ht="15.75" x14ac:dyDescent="0.25">
      <c r="A24" s="81"/>
      <c r="B24" s="82"/>
      <c r="C24" s="83"/>
      <c r="D24" s="84"/>
      <c r="E24" s="84"/>
      <c r="F24" s="84"/>
      <c r="G24" s="84"/>
      <c r="H24" s="84"/>
      <c r="I24" s="84"/>
      <c r="J24" s="84"/>
      <c r="K24" s="84"/>
    </row>
    <row r="25" spans="1:11" ht="15.75" x14ac:dyDescent="0.25">
      <c r="A25" s="81"/>
      <c r="B25" s="82"/>
      <c r="C25" s="83"/>
      <c r="D25" s="84"/>
      <c r="E25" s="84"/>
      <c r="F25" s="84"/>
      <c r="G25" s="84"/>
      <c r="H25" s="84"/>
      <c r="I25" s="84"/>
      <c r="J25" s="84"/>
      <c r="K25" s="84"/>
    </row>
    <row r="26" spans="1:11" ht="15.75" x14ac:dyDescent="0.25">
      <c r="A26" s="81"/>
      <c r="B26" s="82"/>
      <c r="C26" s="83"/>
      <c r="D26" s="84"/>
      <c r="E26" s="84"/>
      <c r="F26" s="84"/>
      <c r="G26" s="84"/>
      <c r="H26" s="84"/>
      <c r="I26" s="84"/>
      <c r="J26" s="84"/>
      <c r="K26" s="84"/>
    </row>
    <row r="27" spans="1:11" ht="15.75" x14ac:dyDescent="0.25">
      <c r="A27" s="81"/>
      <c r="B27" s="82"/>
      <c r="C27" s="83"/>
      <c r="D27" s="84"/>
      <c r="E27" s="84"/>
      <c r="F27" s="84"/>
      <c r="G27" s="84"/>
      <c r="H27" s="84"/>
      <c r="I27" s="84"/>
      <c r="J27" s="84"/>
      <c r="K27" s="84"/>
    </row>
    <row r="28" spans="1:11" ht="15.75" x14ac:dyDescent="0.25">
      <c r="A28" s="81"/>
      <c r="B28" s="82"/>
      <c r="C28" s="83"/>
      <c r="D28" s="84"/>
      <c r="E28" s="84"/>
      <c r="F28" s="84"/>
      <c r="G28" s="84"/>
      <c r="H28" s="84"/>
      <c r="I28" s="84"/>
      <c r="J28" s="84"/>
      <c r="K28" s="84"/>
    </row>
    <row r="29" spans="1:11" ht="15.75" x14ac:dyDescent="0.25">
      <c r="A29" s="81"/>
      <c r="B29" s="82"/>
      <c r="C29" s="83"/>
      <c r="D29" s="210"/>
      <c r="E29" s="211"/>
      <c r="F29" s="212"/>
      <c r="G29" s="212"/>
      <c r="H29" s="212"/>
      <c r="I29" s="84"/>
      <c r="J29" s="84"/>
      <c r="K29" s="84"/>
    </row>
    <row r="30" spans="1:11" ht="15.75" x14ac:dyDescent="0.25">
      <c r="A30" s="81"/>
      <c r="B30" s="82"/>
      <c r="C30" s="83"/>
      <c r="D30" s="210"/>
      <c r="E30" s="213"/>
      <c r="F30" s="214"/>
      <c r="G30" s="214"/>
      <c r="H30" s="214"/>
      <c r="I30" s="84"/>
      <c r="J30" s="84"/>
      <c r="K30" s="84"/>
    </row>
    <row r="31" spans="1:11" ht="15.75" x14ac:dyDescent="0.25">
      <c r="A31" s="81"/>
      <c r="B31" s="82"/>
      <c r="C31" s="83"/>
      <c r="D31" s="210"/>
      <c r="E31" s="213"/>
      <c r="F31" s="214"/>
      <c r="G31" s="214"/>
      <c r="H31" s="214"/>
      <c r="I31" s="84"/>
      <c r="J31" s="84"/>
      <c r="K31" s="84"/>
    </row>
    <row r="32" spans="1:11" ht="15.75" x14ac:dyDescent="0.25">
      <c r="A32" s="81"/>
      <c r="B32" s="82"/>
      <c r="C32" s="83"/>
      <c r="D32" s="210"/>
      <c r="E32" s="213"/>
      <c r="F32" s="214"/>
      <c r="G32" s="214"/>
      <c r="H32" s="214"/>
      <c r="I32" s="84"/>
      <c r="J32" s="84"/>
      <c r="K32" s="84"/>
    </row>
    <row r="33" spans="1:11" ht="15.75" x14ac:dyDescent="0.25">
      <c r="A33" s="81"/>
      <c r="B33" s="82"/>
      <c r="C33" s="83"/>
      <c r="D33" s="210"/>
      <c r="E33" s="213"/>
      <c r="F33" s="214"/>
      <c r="G33" s="214"/>
      <c r="H33" s="214"/>
      <c r="I33" s="84"/>
      <c r="J33" s="84"/>
      <c r="K33" s="84"/>
    </row>
    <row r="34" spans="1:11" ht="15.75" x14ac:dyDescent="0.25">
      <c r="A34" s="81"/>
      <c r="B34" s="82"/>
      <c r="C34" s="83"/>
      <c r="D34" s="84"/>
      <c r="E34" s="84"/>
      <c r="F34" s="84"/>
      <c r="G34" s="84"/>
      <c r="H34" s="84"/>
      <c r="I34" s="84"/>
      <c r="J34" s="84"/>
      <c r="K34" s="84"/>
    </row>
    <row r="35" spans="1:11" ht="15.75" x14ac:dyDescent="0.25">
      <c r="A35" s="81"/>
      <c r="B35" s="82"/>
      <c r="C35" s="83"/>
      <c r="D35" s="84"/>
      <c r="E35" s="84"/>
      <c r="F35" s="84"/>
      <c r="G35" s="84"/>
      <c r="H35" s="84"/>
      <c r="I35" s="84"/>
      <c r="J35" s="84"/>
      <c r="K35" s="84"/>
    </row>
    <row r="36" spans="1:11" ht="15.75" x14ac:dyDescent="0.25">
      <c r="A36" s="81"/>
      <c r="B36" s="82"/>
      <c r="C36" s="83"/>
      <c r="D36" s="84"/>
      <c r="E36" s="84"/>
      <c r="F36" s="84"/>
      <c r="G36" s="84"/>
      <c r="H36" s="84"/>
      <c r="I36" s="84"/>
      <c r="J36" s="84"/>
      <c r="K36" s="84"/>
    </row>
    <row r="37" spans="1:11" ht="15.75" x14ac:dyDescent="0.25">
      <c r="A37" s="81"/>
      <c r="B37" s="82"/>
      <c r="C37" s="83"/>
      <c r="D37" s="84"/>
      <c r="E37" s="84"/>
      <c r="F37" s="84"/>
      <c r="G37" s="84"/>
      <c r="H37" s="84"/>
      <c r="I37" s="84"/>
      <c r="J37" s="84"/>
      <c r="K37" s="84"/>
    </row>
    <row r="38" spans="1:11" ht="15.75" x14ac:dyDescent="0.25">
      <c r="A38" s="81"/>
      <c r="B38" s="82"/>
      <c r="C38" s="83"/>
      <c r="D38" s="84"/>
      <c r="E38" s="84"/>
      <c r="F38" s="84"/>
      <c r="G38" s="84"/>
      <c r="H38" s="84"/>
      <c r="I38" s="84"/>
      <c r="J38" s="84"/>
      <c r="K38" s="84"/>
    </row>
    <row r="39" spans="1:11" ht="15.75" x14ac:dyDescent="0.25">
      <c r="A39" s="81"/>
      <c r="B39" s="82"/>
      <c r="C39" s="83"/>
      <c r="D39" s="84"/>
      <c r="E39" s="84"/>
      <c r="F39" s="84"/>
      <c r="G39" s="84"/>
      <c r="H39" s="84"/>
      <c r="I39" s="84"/>
      <c r="J39" s="84"/>
      <c r="K39" s="84"/>
    </row>
    <row r="40" spans="1:11" ht="15.75" x14ac:dyDescent="0.25">
      <c r="A40" s="81"/>
      <c r="B40" s="82"/>
      <c r="C40" s="83"/>
      <c r="D40" s="84"/>
      <c r="E40" s="84"/>
      <c r="F40" s="84"/>
      <c r="G40" s="84"/>
      <c r="H40" s="84"/>
      <c r="I40" s="84"/>
      <c r="J40" s="84"/>
      <c r="K40" s="84"/>
    </row>
    <row r="41" spans="1:11" ht="15.75" x14ac:dyDescent="0.25">
      <c r="A41" s="81"/>
      <c r="B41" s="82"/>
      <c r="C41" s="83"/>
      <c r="D41" s="84"/>
      <c r="E41" s="84"/>
      <c r="F41" s="84"/>
      <c r="G41" s="84"/>
      <c r="H41" s="84"/>
      <c r="I41" s="84"/>
      <c r="J41" s="84"/>
      <c r="K41" s="84"/>
    </row>
    <row r="42" spans="1:11" ht="15.75" x14ac:dyDescent="0.25">
      <c r="A42" s="81"/>
      <c r="B42" s="82"/>
      <c r="C42" s="83"/>
      <c r="D42" s="84"/>
      <c r="E42" s="84"/>
      <c r="F42" s="84"/>
      <c r="G42" s="84"/>
      <c r="H42" s="84"/>
      <c r="I42" s="84"/>
      <c r="J42" s="84"/>
      <c r="K42" s="84"/>
    </row>
    <row r="43" spans="1:11" ht="15.75" x14ac:dyDescent="0.25">
      <c r="A43" s="81"/>
      <c r="B43" s="82"/>
      <c r="C43" s="83"/>
      <c r="D43" s="84"/>
      <c r="E43" s="84"/>
      <c r="F43" s="84"/>
      <c r="G43" s="84"/>
      <c r="H43" s="84"/>
      <c r="I43" s="84"/>
      <c r="J43" s="84"/>
      <c r="K43" s="84"/>
    </row>
    <row r="44" spans="1:11" ht="15.75" x14ac:dyDescent="0.25">
      <c r="A44" s="81"/>
      <c r="B44" s="82"/>
      <c r="C44" s="83"/>
      <c r="D44" s="84"/>
      <c r="E44" s="84"/>
      <c r="F44" s="84"/>
      <c r="G44" s="84"/>
      <c r="H44" s="84"/>
      <c r="I44" s="84"/>
      <c r="J44" s="84"/>
      <c r="K44" s="84"/>
    </row>
    <row r="45" spans="1:11" ht="15.75" x14ac:dyDescent="0.25">
      <c r="A45" s="81"/>
      <c r="B45" s="82"/>
      <c r="C45" s="83"/>
      <c r="D45" s="84"/>
      <c r="E45" s="84"/>
      <c r="F45" s="84"/>
      <c r="G45" s="84"/>
      <c r="H45" s="84"/>
      <c r="I45" s="84"/>
      <c r="J45" s="84"/>
      <c r="K45" s="84"/>
    </row>
    <row r="46" spans="1:11" ht="15.75" x14ac:dyDescent="0.25">
      <c r="A46" s="81"/>
      <c r="B46" s="82"/>
      <c r="C46" s="83"/>
      <c r="D46" s="84"/>
      <c r="E46" s="84"/>
      <c r="F46" s="84"/>
      <c r="G46" s="84"/>
      <c r="H46" s="84"/>
      <c r="I46" s="84"/>
      <c r="J46" s="84"/>
      <c r="K46" s="84"/>
    </row>
    <row r="47" spans="1:11" ht="15.75" x14ac:dyDescent="0.25">
      <c r="A47" s="81"/>
      <c r="B47" s="82"/>
      <c r="C47" s="83"/>
      <c r="D47" s="84"/>
      <c r="E47" s="84"/>
      <c r="F47" s="84"/>
      <c r="G47" s="84"/>
      <c r="H47" s="84"/>
      <c r="I47" s="84"/>
      <c r="J47" s="84"/>
      <c r="K47" s="84"/>
    </row>
    <row r="48" spans="1:11" ht="15.75" x14ac:dyDescent="0.25">
      <c r="A48" s="81"/>
      <c r="B48" s="82"/>
      <c r="C48" s="83"/>
      <c r="D48" s="84"/>
      <c r="E48" s="84"/>
      <c r="F48" s="84"/>
      <c r="G48" s="84"/>
      <c r="H48" s="84"/>
      <c r="I48" s="84"/>
      <c r="J48" s="84"/>
      <c r="K48" s="84"/>
    </row>
    <row r="49" spans="1:11" ht="15.75" x14ac:dyDescent="0.25">
      <c r="A49" s="81"/>
      <c r="B49" s="82"/>
      <c r="C49" s="83"/>
      <c r="D49" s="84"/>
      <c r="E49" s="84"/>
      <c r="F49" s="84"/>
      <c r="G49" s="84"/>
      <c r="H49" s="84"/>
      <c r="I49" s="84"/>
      <c r="J49" s="84"/>
      <c r="K49" s="84"/>
    </row>
    <row r="50" spans="1:11" ht="15.75" x14ac:dyDescent="0.25">
      <c r="A50" s="81"/>
      <c r="B50" s="82"/>
      <c r="C50" s="83"/>
      <c r="D50" s="84"/>
      <c r="E50" s="84"/>
      <c r="F50" s="84"/>
      <c r="G50" s="84"/>
      <c r="H50" s="84"/>
      <c r="I50" s="84"/>
      <c r="J50" s="84"/>
      <c r="K50" s="84"/>
    </row>
    <row r="51" spans="1:11" ht="15.75" x14ac:dyDescent="0.25">
      <c r="A51" s="81"/>
      <c r="B51" s="82"/>
      <c r="C51" s="83"/>
      <c r="D51" s="84"/>
      <c r="E51" s="84"/>
      <c r="F51" s="84"/>
      <c r="G51" s="84"/>
      <c r="H51" s="84"/>
      <c r="I51" s="84"/>
      <c r="J51" s="84"/>
      <c r="K51" s="84"/>
    </row>
    <row r="52" spans="1:11" ht="15.75" x14ac:dyDescent="0.25">
      <c r="A52" s="81"/>
      <c r="B52" s="82"/>
      <c r="C52" s="83"/>
      <c r="D52" s="84"/>
      <c r="E52" s="84"/>
      <c r="F52" s="84"/>
      <c r="G52" s="84"/>
      <c r="H52" s="84"/>
      <c r="I52" s="84"/>
      <c r="J52" s="84"/>
      <c r="K52" s="84"/>
    </row>
    <row r="53" spans="1:11" ht="15.75" x14ac:dyDescent="0.25">
      <c r="A53" s="81"/>
      <c r="B53" s="82"/>
      <c r="C53" s="83"/>
      <c r="D53" s="84"/>
      <c r="E53" s="84"/>
      <c r="F53" s="84"/>
      <c r="G53" s="84"/>
      <c r="H53" s="84"/>
      <c r="I53" s="84"/>
      <c r="J53" s="84"/>
      <c r="K53" s="84"/>
    </row>
    <row r="54" spans="1:11" ht="15.75" x14ac:dyDescent="0.25">
      <c r="A54" s="81"/>
      <c r="B54" s="82"/>
      <c r="C54" s="83"/>
      <c r="D54" s="84"/>
      <c r="E54" s="84"/>
      <c r="F54" s="84"/>
      <c r="G54" s="84"/>
      <c r="H54" s="84"/>
      <c r="I54" s="84"/>
      <c r="J54" s="84"/>
      <c r="K54" s="84"/>
    </row>
    <row r="55" spans="1:11" ht="15.75" x14ac:dyDescent="0.25">
      <c r="A55" s="81"/>
      <c r="B55" s="82"/>
      <c r="C55" s="83"/>
      <c r="D55" s="84"/>
      <c r="E55" s="84"/>
      <c r="F55" s="84"/>
      <c r="G55" s="84"/>
      <c r="H55" s="84"/>
      <c r="I55" s="84"/>
      <c r="J55" s="84"/>
      <c r="K55" s="84"/>
    </row>
    <row r="56" spans="1:11" ht="15.75" x14ac:dyDescent="0.25">
      <c r="A56" s="81"/>
      <c r="B56" s="82"/>
      <c r="C56" s="83"/>
      <c r="D56" s="84"/>
      <c r="E56" s="84"/>
      <c r="F56" s="84"/>
      <c r="G56" s="84"/>
      <c r="H56" s="84"/>
      <c r="I56" s="84"/>
      <c r="J56" s="84"/>
      <c r="K56" s="84"/>
    </row>
    <row r="57" spans="1:11" ht="15.75" x14ac:dyDescent="0.25">
      <c r="A57" s="81"/>
      <c r="B57" s="82"/>
      <c r="C57" s="83"/>
      <c r="D57" s="84"/>
      <c r="E57" s="84"/>
      <c r="F57" s="84"/>
      <c r="G57" s="84"/>
      <c r="H57" s="84"/>
      <c r="I57" s="84"/>
      <c r="J57" s="84"/>
      <c r="K57" s="84"/>
    </row>
    <row r="58" spans="1:11" ht="15.75" x14ac:dyDescent="0.25">
      <c r="A58" s="81"/>
      <c r="B58" s="82"/>
      <c r="C58" s="83"/>
      <c r="D58" s="84"/>
      <c r="E58" s="84"/>
      <c r="F58" s="84"/>
      <c r="G58" s="84"/>
      <c r="H58" s="84"/>
      <c r="I58" s="84"/>
      <c r="J58" s="84"/>
      <c r="K58" s="84"/>
    </row>
    <row r="59" spans="1:11" ht="15.75" x14ac:dyDescent="0.25">
      <c r="A59" s="81"/>
      <c r="B59" s="82"/>
      <c r="C59" s="83"/>
      <c r="D59" s="84"/>
      <c r="E59" s="84"/>
      <c r="F59" s="84"/>
      <c r="G59" s="84"/>
      <c r="H59" s="84"/>
      <c r="I59" s="84"/>
      <c r="J59" s="84"/>
      <c r="K59" s="84"/>
    </row>
    <row r="60" spans="1:11" ht="15.75" x14ac:dyDescent="0.25">
      <c r="A60" s="81"/>
      <c r="B60" s="82"/>
      <c r="C60" s="83"/>
      <c r="D60" s="84"/>
      <c r="E60" s="84"/>
      <c r="F60" s="84"/>
      <c r="G60" s="84"/>
      <c r="H60" s="84"/>
      <c r="I60" s="84"/>
      <c r="J60" s="84"/>
      <c r="K60" s="84"/>
    </row>
    <row r="61" spans="1:11" ht="15.75" x14ac:dyDescent="0.25">
      <c r="A61" s="81"/>
      <c r="B61" s="82"/>
      <c r="C61" s="83"/>
      <c r="D61" s="84"/>
      <c r="E61" s="84"/>
      <c r="F61" s="84"/>
      <c r="G61" s="84"/>
      <c r="H61" s="84"/>
      <c r="I61" s="84"/>
      <c r="J61" s="84"/>
      <c r="K61" s="84"/>
    </row>
    <row r="62" spans="1:11" ht="15.75" x14ac:dyDescent="0.25">
      <c r="A62" s="81"/>
      <c r="B62" s="82"/>
      <c r="C62" s="83"/>
      <c r="D62" s="84"/>
      <c r="E62" s="84"/>
      <c r="F62" s="84"/>
      <c r="G62" s="84"/>
      <c r="H62" s="84"/>
      <c r="I62" s="84"/>
      <c r="J62" s="84"/>
      <c r="K62" s="84"/>
    </row>
    <row r="63" spans="1:11" ht="15.75" x14ac:dyDescent="0.25">
      <c r="A63" s="81"/>
      <c r="B63" s="82"/>
      <c r="C63" s="83"/>
      <c r="D63" s="84"/>
      <c r="E63" s="84"/>
      <c r="F63" s="84"/>
      <c r="G63" s="84"/>
      <c r="H63" s="84"/>
      <c r="I63" s="84"/>
      <c r="J63" s="84"/>
      <c r="K63" s="84"/>
    </row>
    <row r="64" spans="1:11" ht="15.75" x14ac:dyDescent="0.25">
      <c r="A64" s="81"/>
      <c r="B64" s="82"/>
      <c r="C64" s="83"/>
      <c r="D64" s="84"/>
      <c r="E64" s="84"/>
      <c r="F64" s="84"/>
      <c r="G64" s="84"/>
      <c r="H64" s="84"/>
      <c r="I64" s="84"/>
      <c r="J64" s="84"/>
      <c r="K64" s="84"/>
    </row>
    <row r="65" spans="1:11" ht="15.75" x14ac:dyDescent="0.25">
      <c r="A65" s="81"/>
      <c r="B65" s="82"/>
      <c r="C65" s="83"/>
      <c r="D65" s="84"/>
      <c r="E65" s="84"/>
      <c r="F65" s="84"/>
      <c r="G65" s="84"/>
      <c r="H65" s="84"/>
      <c r="I65" s="84"/>
      <c r="J65" s="84"/>
      <c r="K65" s="84"/>
    </row>
    <row r="66" spans="1:11" ht="15.75" x14ac:dyDescent="0.25">
      <c r="A66" s="81"/>
      <c r="B66" s="82"/>
      <c r="C66" s="83"/>
      <c r="D66" s="84"/>
      <c r="E66" s="84"/>
      <c r="F66" s="84"/>
      <c r="G66" s="84"/>
      <c r="H66" s="84"/>
      <c r="I66" s="84"/>
      <c r="J66" s="84"/>
      <c r="K66" s="84"/>
    </row>
    <row r="67" spans="1:11" ht="15.75" x14ac:dyDescent="0.25">
      <c r="A67" s="81"/>
      <c r="B67" s="82"/>
      <c r="C67" s="83"/>
      <c r="D67" s="84"/>
      <c r="E67" s="84"/>
      <c r="F67" s="84"/>
      <c r="G67" s="84"/>
      <c r="H67" s="84"/>
      <c r="I67" s="84"/>
      <c r="J67" s="84"/>
      <c r="K67" s="84"/>
    </row>
    <row r="68" spans="1:11" ht="15.75" x14ac:dyDescent="0.25">
      <c r="A68" s="81"/>
      <c r="B68" s="82"/>
      <c r="C68" s="83"/>
      <c r="D68" s="84"/>
      <c r="E68" s="84"/>
      <c r="F68" s="84"/>
      <c r="G68" s="84"/>
      <c r="H68" s="84"/>
      <c r="I68" s="84"/>
      <c r="J68" s="84"/>
      <c r="K68" s="84"/>
    </row>
    <row r="69" spans="1:11" ht="15.75" x14ac:dyDescent="0.25">
      <c r="A69" s="81"/>
      <c r="B69" s="82"/>
      <c r="C69" s="83"/>
      <c r="D69" s="84"/>
      <c r="E69" s="84"/>
      <c r="F69" s="84"/>
      <c r="G69" s="84"/>
      <c r="H69" s="84"/>
      <c r="I69" s="84"/>
      <c r="J69" s="84"/>
      <c r="K69" s="84"/>
    </row>
    <row r="70" spans="1:11" ht="15.75" x14ac:dyDescent="0.25">
      <c r="A70" s="81"/>
      <c r="B70" s="82"/>
      <c r="C70" s="83"/>
      <c r="D70" s="84"/>
      <c r="E70" s="84"/>
      <c r="F70" s="84"/>
      <c r="G70" s="84"/>
      <c r="H70" s="84"/>
      <c r="I70" s="84"/>
      <c r="J70" s="84"/>
      <c r="K70" s="84"/>
    </row>
    <row r="71" spans="1:11" ht="15.75" x14ac:dyDescent="0.25">
      <c r="A71" s="81"/>
      <c r="B71" s="82"/>
      <c r="C71" s="83"/>
      <c r="D71" s="84"/>
      <c r="E71" s="84"/>
      <c r="F71" s="84"/>
      <c r="G71" s="84"/>
      <c r="H71" s="84"/>
      <c r="I71" s="84"/>
      <c r="J71" s="84"/>
      <c r="K71" s="84"/>
    </row>
    <row r="72" spans="1:11" ht="15.75" x14ac:dyDescent="0.25">
      <c r="A72" s="81"/>
      <c r="B72" s="82"/>
      <c r="C72" s="83"/>
      <c r="D72" s="84"/>
      <c r="E72" s="84"/>
      <c r="F72" s="84"/>
      <c r="G72" s="84"/>
      <c r="H72" s="84"/>
      <c r="I72" s="84"/>
      <c r="J72" s="84"/>
      <c r="K72" s="84"/>
    </row>
    <row r="73" spans="1:11" ht="15.75" x14ac:dyDescent="0.25">
      <c r="A73" s="81"/>
      <c r="B73" s="82"/>
      <c r="C73" s="83"/>
      <c r="D73" s="84"/>
      <c r="E73" s="84"/>
      <c r="F73" s="84"/>
      <c r="G73" s="84"/>
      <c r="H73" s="84"/>
      <c r="I73" s="84"/>
      <c r="J73" s="84"/>
      <c r="K73" s="84"/>
    </row>
    <row r="74" spans="1:11" ht="15.75" x14ac:dyDescent="0.25">
      <c r="A74" s="81"/>
      <c r="B74" s="82"/>
      <c r="C74" s="83"/>
      <c r="D74" s="84"/>
      <c r="E74" s="84"/>
      <c r="F74" s="84"/>
      <c r="G74" s="84"/>
      <c r="H74" s="84"/>
      <c r="I74" s="84"/>
      <c r="J74" s="84"/>
      <c r="K74" s="84"/>
    </row>
    <row r="75" spans="1:11" ht="15.75" x14ac:dyDescent="0.25">
      <c r="A75" s="81"/>
      <c r="B75" s="82"/>
      <c r="C75" s="83"/>
      <c r="D75" s="84"/>
      <c r="E75" s="84"/>
      <c r="F75" s="84"/>
      <c r="G75" s="84"/>
      <c r="H75" s="84"/>
      <c r="I75" s="84"/>
      <c r="J75" s="84"/>
      <c r="K75" s="84"/>
    </row>
    <row r="76" spans="1:11" ht="15.75" x14ac:dyDescent="0.25">
      <c r="A76" s="81"/>
      <c r="B76" s="82"/>
      <c r="C76" s="83"/>
      <c r="D76" s="84"/>
      <c r="E76" s="84"/>
      <c r="F76" s="84"/>
      <c r="G76" s="84"/>
      <c r="H76" s="84"/>
      <c r="I76" s="84"/>
      <c r="J76" s="84"/>
      <c r="K76" s="84"/>
    </row>
    <row r="77" spans="1:11" ht="15.75" x14ac:dyDescent="0.25">
      <c r="A77" s="81"/>
      <c r="B77" s="82"/>
      <c r="C77" s="83"/>
      <c r="D77" s="84"/>
      <c r="E77" s="84"/>
      <c r="F77" s="84"/>
      <c r="G77" s="84"/>
      <c r="H77" s="84"/>
      <c r="I77" s="84"/>
      <c r="J77" s="84"/>
      <c r="K77" s="84"/>
    </row>
    <row r="78" spans="1:11" ht="15.75" x14ac:dyDescent="0.25">
      <c r="A78" s="81"/>
      <c r="B78" s="82"/>
      <c r="C78" s="83"/>
      <c r="D78" s="84"/>
      <c r="E78" s="84"/>
      <c r="F78" s="84"/>
      <c r="G78" s="84"/>
      <c r="H78" s="84"/>
      <c r="I78" s="84"/>
      <c r="J78" s="84"/>
      <c r="K78" s="84"/>
    </row>
    <row r="79" spans="1:11" ht="15.75" x14ac:dyDescent="0.25">
      <c r="A79" s="81"/>
      <c r="B79" s="82"/>
      <c r="C79" s="83"/>
      <c r="D79" s="84"/>
      <c r="E79" s="84"/>
      <c r="F79" s="84"/>
      <c r="G79" s="84"/>
      <c r="H79" s="84"/>
      <c r="I79" s="84"/>
      <c r="J79" s="84"/>
      <c r="K79" s="84"/>
    </row>
    <row r="80" spans="1:11" ht="15.75" x14ac:dyDescent="0.25">
      <c r="A80" s="81"/>
      <c r="B80" s="82"/>
      <c r="C80" s="83"/>
      <c r="D80" s="84"/>
      <c r="E80" s="84"/>
      <c r="F80" s="84"/>
      <c r="G80" s="84"/>
      <c r="H80" s="84"/>
      <c r="I80" s="84"/>
      <c r="J80" s="84"/>
      <c r="K80" s="84"/>
    </row>
    <row r="81" spans="1:11" ht="15.75" x14ac:dyDescent="0.25">
      <c r="A81" s="81"/>
      <c r="B81" s="82"/>
      <c r="C81" s="83"/>
      <c r="D81" s="84"/>
      <c r="E81" s="84"/>
      <c r="F81" s="84"/>
      <c r="G81" s="84"/>
      <c r="H81" s="84"/>
      <c r="I81" s="84"/>
      <c r="J81" s="84"/>
      <c r="K81" s="84"/>
    </row>
    <row r="82" spans="1:11" ht="15.75" x14ac:dyDescent="0.25">
      <c r="A82" s="81"/>
      <c r="B82" s="82"/>
      <c r="C82" s="83"/>
      <c r="D82" s="84"/>
      <c r="E82" s="84"/>
      <c r="F82" s="84"/>
      <c r="G82" s="84"/>
      <c r="H82" s="84"/>
      <c r="I82" s="84"/>
      <c r="J82" s="84"/>
      <c r="K82" s="84"/>
    </row>
    <row r="83" spans="1:11" ht="15.75" x14ac:dyDescent="0.25">
      <c r="A83" s="81"/>
      <c r="B83" s="82"/>
      <c r="C83" s="83"/>
      <c r="D83" s="84"/>
      <c r="E83" s="84"/>
      <c r="F83" s="84"/>
      <c r="G83" s="84"/>
      <c r="H83" s="84"/>
      <c r="I83" s="84"/>
      <c r="J83" s="84"/>
      <c r="K83" s="84"/>
    </row>
    <row r="84" spans="1:11" ht="15.75" x14ac:dyDescent="0.25">
      <c r="A84" s="81"/>
      <c r="B84" s="82"/>
      <c r="C84" s="83"/>
      <c r="D84" s="84"/>
      <c r="E84" s="84"/>
      <c r="F84" s="84"/>
      <c r="G84" s="84"/>
      <c r="H84" s="84"/>
      <c r="I84" s="84"/>
      <c r="J84" s="84"/>
      <c r="K84" s="84"/>
    </row>
    <row r="85" spans="1:11" ht="15.75" x14ac:dyDescent="0.25">
      <c r="A85" s="81"/>
      <c r="B85" s="82"/>
      <c r="C85" s="83"/>
      <c r="D85" s="84"/>
      <c r="E85" s="84"/>
      <c r="F85" s="84"/>
      <c r="G85" s="84"/>
      <c r="H85" s="84"/>
      <c r="I85" s="84"/>
      <c r="J85" s="84"/>
      <c r="K85" s="84"/>
    </row>
    <row r="86" spans="1:11" ht="15.75" x14ac:dyDescent="0.25">
      <c r="A86" s="81"/>
      <c r="B86" s="82"/>
      <c r="C86" s="83"/>
      <c r="D86" s="84"/>
      <c r="E86" s="84"/>
      <c r="F86" s="84"/>
      <c r="G86" s="84"/>
      <c r="H86" s="84"/>
      <c r="I86" s="84"/>
      <c r="J86" s="84"/>
      <c r="K86" s="84"/>
    </row>
    <row r="87" spans="1:11" ht="15.75" x14ac:dyDescent="0.25">
      <c r="A87" s="81"/>
      <c r="B87" s="82"/>
      <c r="C87" s="83"/>
      <c r="D87" s="84"/>
      <c r="E87" s="84"/>
      <c r="F87" s="84"/>
      <c r="G87" s="84"/>
      <c r="H87" s="84"/>
      <c r="I87" s="84"/>
      <c r="J87" s="84"/>
      <c r="K87" s="84"/>
    </row>
    <row r="88" spans="1:11" ht="15.75" x14ac:dyDescent="0.25">
      <c r="A88" s="81"/>
      <c r="B88" s="82"/>
      <c r="C88" s="83"/>
      <c r="D88" s="84"/>
      <c r="E88" s="84"/>
      <c r="F88" s="84"/>
      <c r="G88" s="84"/>
      <c r="H88" s="84"/>
      <c r="I88" s="84"/>
      <c r="J88" s="84"/>
      <c r="K88" s="84"/>
    </row>
    <row r="89" spans="1:11" ht="15.75" x14ac:dyDescent="0.25">
      <c r="A89" s="81"/>
      <c r="B89" s="82"/>
      <c r="C89" s="83"/>
      <c r="D89" s="84"/>
      <c r="E89" s="84"/>
      <c r="F89" s="84"/>
      <c r="G89" s="84"/>
      <c r="H89" s="84"/>
      <c r="I89" s="84"/>
      <c r="J89" s="84"/>
      <c r="K89" s="84"/>
    </row>
    <row r="90" spans="1:11" ht="15.75" x14ac:dyDescent="0.25">
      <c r="A90" s="81"/>
      <c r="B90" s="82"/>
      <c r="C90" s="83"/>
      <c r="D90" s="84"/>
      <c r="E90" s="84"/>
      <c r="F90" s="84"/>
      <c r="G90" s="84"/>
      <c r="H90" s="84"/>
      <c r="I90" s="84"/>
      <c r="J90" s="84"/>
      <c r="K90" s="84"/>
    </row>
    <row r="91" spans="1:11" ht="15.75" x14ac:dyDescent="0.25">
      <c r="A91" s="81"/>
      <c r="B91" s="82"/>
      <c r="C91" s="83"/>
      <c r="D91" s="84"/>
      <c r="E91" s="84"/>
      <c r="F91" s="84"/>
      <c r="G91" s="84"/>
      <c r="H91" s="84"/>
      <c r="I91" s="84"/>
      <c r="J91" s="84"/>
      <c r="K91" s="84"/>
    </row>
    <row r="92" spans="1:11" ht="15.75" x14ac:dyDescent="0.25">
      <c r="A92" s="81"/>
      <c r="B92" s="82"/>
      <c r="C92" s="83"/>
      <c r="D92" s="84"/>
      <c r="E92" s="84"/>
      <c r="F92" s="84"/>
      <c r="G92" s="84"/>
      <c r="H92" s="84"/>
      <c r="I92" s="84"/>
      <c r="J92" s="84"/>
      <c r="K92" s="84"/>
    </row>
    <row r="93" spans="1:11" ht="15.75" x14ac:dyDescent="0.25">
      <c r="A93" s="81"/>
      <c r="B93" s="82"/>
      <c r="C93" s="83"/>
      <c r="D93" s="84"/>
      <c r="E93" s="84"/>
      <c r="F93" s="84"/>
      <c r="G93" s="84"/>
      <c r="H93" s="84"/>
      <c r="I93" s="84"/>
      <c r="J93" s="84"/>
      <c r="K93" s="84"/>
    </row>
    <row r="94" spans="1:11" ht="15.75" x14ac:dyDescent="0.25">
      <c r="A94" s="81"/>
      <c r="B94" s="82"/>
      <c r="C94" s="83"/>
      <c r="D94" s="84"/>
      <c r="E94" s="84"/>
      <c r="F94" s="84"/>
      <c r="G94" s="84"/>
      <c r="H94" s="84"/>
      <c r="I94" s="84"/>
      <c r="J94" s="84"/>
      <c r="K94" s="84"/>
    </row>
    <row r="95" spans="1:11" ht="15.75" x14ac:dyDescent="0.25">
      <c r="A95" s="81"/>
      <c r="B95" s="82"/>
      <c r="C95" s="83"/>
      <c r="D95" s="84"/>
      <c r="E95" s="84"/>
      <c r="F95" s="84"/>
      <c r="G95" s="84"/>
      <c r="H95" s="84"/>
      <c r="I95" s="84"/>
      <c r="J95" s="84"/>
      <c r="K95" s="84"/>
    </row>
    <row r="96" spans="1:11" ht="15.75" x14ac:dyDescent="0.25">
      <c r="A96" s="81"/>
      <c r="B96" s="82"/>
      <c r="C96" s="83"/>
      <c r="D96" s="84"/>
      <c r="E96" s="84"/>
      <c r="F96" s="84"/>
      <c r="G96" s="84"/>
      <c r="H96" s="84"/>
      <c r="I96" s="84"/>
      <c r="J96" s="84"/>
      <c r="K96" s="84"/>
    </row>
    <row r="97" spans="1:11" ht="15.75" x14ac:dyDescent="0.25">
      <c r="A97" s="81"/>
      <c r="B97" s="82"/>
      <c r="C97" s="83"/>
      <c r="D97" s="84"/>
      <c r="E97" s="84"/>
      <c r="F97" s="84"/>
      <c r="G97" s="84"/>
      <c r="H97" s="84"/>
      <c r="I97" s="84"/>
      <c r="J97" s="84"/>
      <c r="K97" s="84"/>
    </row>
    <row r="98" spans="1:11" ht="15.75" x14ac:dyDescent="0.25">
      <c r="A98" s="81"/>
      <c r="B98" s="82"/>
      <c r="C98" s="83"/>
      <c r="D98" s="84"/>
      <c r="E98" s="84"/>
      <c r="F98" s="84"/>
      <c r="G98" s="84"/>
      <c r="H98" s="84"/>
      <c r="I98" s="84"/>
      <c r="J98" s="84"/>
      <c r="K98" s="84"/>
    </row>
    <row r="99" spans="1:11" ht="15.75" x14ac:dyDescent="0.25">
      <c r="A99" s="81"/>
      <c r="B99" s="82"/>
      <c r="C99" s="83"/>
      <c r="D99" s="84"/>
      <c r="E99" s="84"/>
      <c r="F99" s="84"/>
      <c r="G99" s="84"/>
      <c r="H99" s="84"/>
      <c r="I99" s="84"/>
      <c r="J99" s="84"/>
      <c r="K99" s="84"/>
    </row>
    <row r="100" spans="1:11" ht="15.75" x14ac:dyDescent="0.25">
      <c r="A100" s="81"/>
      <c r="B100" s="82"/>
      <c r="C100" s="83"/>
      <c r="D100" s="84"/>
      <c r="E100" s="84"/>
      <c r="F100" s="84"/>
      <c r="G100" s="84"/>
      <c r="H100" s="84"/>
      <c r="I100" s="84"/>
      <c r="J100" s="84"/>
      <c r="K100" s="84"/>
    </row>
    <row r="101" spans="1:11" ht="15.75" x14ac:dyDescent="0.25">
      <c r="A101" s="81"/>
      <c r="B101" s="82"/>
      <c r="C101" s="83"/>
      <c r="D101" s="84"/>
      <c r="E101" s="84"/>
      <c r="F101" s="84"/>
      <c r="G101" s="84"/>
      <c r="H101" s="84"/>
      <c r="I101" s="84"/>
      <c r="J101" s="84"/>
      <c r="K101" s="84"/>
    </row>
    <row r="102" spans="1:11" ht="15.75" x14ac:dyDescent="0.25">
      <c r="A102" s="81"/>
      <c r="B102" s="82"/>
      <c r="C102" s="83"/>
      <c r="D102" s="84"/>
      <c r="E102" s="84"/>
      <c r="F102" s="84"/>
      <c r="G102" s="84"/>
      <c r="H102" s="84"/>
      <c r="I102" s="84"/>
      <c r="J102" s="84"/>
      <c r="K102" s="84"/>
    </row>
    <row r="103" spans="1:11" ht="15.75" x14ac:dyDescent="0.25">
      <c r="A103" s="81"/>
      <c r="B103" s="82"/>
      <c r="C103" s="83"/>
      <c r="D103" s="84"/>
      <c r="E103" s="84"/>
      <c r="F103" s="84"/>
      <c r="G103" s="84"/>
      <c r="H103" s="84"/>
      <c r="I103" s="84"/>
      <c r="J103" s="84"/>
      <c r="K103" s="84"/>
    </row>
    <row r="104" spans="1:11" ht="15.75" x14ac:dyDescent="0.25">
      <c r="A104" s="81"/>
      <c r="B104" s="82"/>
      <c r="C104" s="83"/>
      <c r="D104" s="84"/>
      <c r="E104" s="84"/>
      <c r="F104" s="84"/>
      <c r="G104" s="84"/>
      <c r="H104" s="84"/>
      <c r="I104" s="84"/>
      <c r="J104" s="84"/>
      <c r="K104" s="84"/>
    </row>
    <row r="105" spans="1:11" ht="15.75" x14ac:dyDescent="0.25">
      <c r="A105" s="81"/>
      <c r="B105" s="82"/>
      <c r="C105" s="83"/>
      <c r="D105" s="84"/>
      <c r="E105" s="84"/>
      <c r="F105" s="84"/>
      <c r="G105" s="84"/>
      <c r="H105" s="84"/>
      <c r="I105" s="84"/>
      <c r="J105" s="84"/>
      <c r="K105" s="84"/>
    </row>
    <row r="106" spans="1:11" ht="15.75" x14ac:dyDescent="0.25">
      <c r="A106" s="81"/>
      <c r="B106" s="82"/>
      <c r="C106" s="83"/>
      <c r="D106" s="84"/>
      <c r="E106" s="84"/>
      <c r="F106" s="84"/>
      <c r="G106" s="84"/>
      <c r="H106" s="84"/>
      <c r="I106" s="84"/>
      <c r="J106" s="84"/>
      <c r="K106" s="84"/>
    </row>
    <row r="107" spans="1:11" ht="15.75" x14ac:dyDescent="0.25">
      <c r="A107" s="81"/>
      <c r="B107" s="82"/>
      <c r="C107" s="83"/>
      <c r="D107" s="84"/>
      <c r="E107" s="84"/>
      <c r="F107" s="84"/>
      <c r="G107" s="84"/>
      <c r="H107" s="84"/>
      <c r="I107" s="84"/>
      <c r="J107" s="84"/>
      <c r="K107" s="84"/>
    </row>
    <row r="108" spans="1:11" ht="15.75" x14ac:dyDescent="0.25">
      <c r="A108" s="81"/>
      <c r="B108" s="82"/>
      <c r="C108" s="83"/>
      <c r="D108" s="84"/>
      <c r="E108" s="84"/>
      <c r="F108" s="84"/>
      <c r="G108" s="84"/>
      <c r="H108" s="84"/>
      <c r="I108" s="84"/>
      <c r="J108" s="84"/>
      <c r="K108" s="84"/>
    </row>
    <row r="109" spans="1:11" ht="15.75" x14ac:dyDescent="0.25">
      <c r="A109" s="81"/>
      <c r="B109" s="82"/>
      <c r="C109" s="83"/>
      <c r="D109" s="84"/>
      <c r="E109" s="84"/>
      <c r="F109" s="84"/>
      <c r="G109" s="84"/>
      <c r="H109" s="84"/>
      <c r="I109" s="84"/>
      <c r="J109" s="84"/>
      <c r="K109" s="84"/>
    </row>
    <row r="110" spans="1:11" ht="15.75" x14ac:dyDescent="0.25">
      <c r="A110" s="81"/>
      <c r="B110" s="82"/>
      <c r="C110" s="83"/>
      <c r="D110" s="84"/>
      <c r="E110" s="84"/>
      <c r="F110" s="84"/>
      <c r="G110" s="84"/>
      <c r="H110" s="84"/>
      <c r="I110" s="84"/>
      <c r="J110" s="84"/>
      <c r="K110" s="84"/>
    </row>
    <row r="111" spans="1:11" ht="15.75" x14ac:dyDescent="0.25">
      <c r="A111" s="81"/>
      <c r="B111" s="82"/>
      <c r="C111" s="83"/>
      <c r="D111" s="84"/>
      <c r="E111" s="84"/>
      <c r="F111" s="84"/>
      <c r="G111" s="84"/>
      <c r="H111" s="84"/>
      <c r="I111" s="84"/>
      <c r="J111" s="84"/>
      <c r="K111" s="84"/>
    </row>
    <row r="112" spans="1:11" ht="15.75" x14ac:dyDescent="0.25">
      <c r="A112" s="81"/>
      <c r="B112" s="82"/>
      <c r="C112" s="83"/>
      <c r="D112" s="84"/>
      <c r="E112" s="84"/>
      <c r="F112" s="84"/>
      <c r="G112" s="84"/>
      <c r="H112" s="84"/>
      <c r="I112" s="84"/>
      <c r="J112" s="84"/>
      <c r="K112" s="84"/>
    </row>
    <row r="113" spans="1:11" ht="15.75" x14ac:dyDescent="0.25">
      <c r="A113" s="81"/>
      <c r="B113" s="82"/>
      <c r="C113" s="83"/>
      <c r="D113" s="84"/>
      <c r="E113" s="84"/>
      <c r="F113" s="84"/>
      <c r="G113" s="84"/>
      <c r="H113" s="84"/>
      <c r="I113" s="84"/>
      <c r="J113" s="84"/>
      <c r="K113" s="84"/>
    </row>
    <row r="114" spans="1:11" ht="15.75" x14ac:dyDescent="0.25">
      <c r="A114" s="81"/>
      <c r="B114" s="82"/>
      <c r="C114" s="83"/>
      <c r="D114" s="84"/>
      <c r="E114" s="84"/>
      <c r="F114" s="84"/>
      <c r="G114" s="84"/>
      <c r="H114" s="84"/>
      <c r="I114" s="84"/>
      <c r="J114" s="84"/>
      <c r="K114" s="84"/>
    </row>
    <row r="115" spans="1:11" ht="15.75" x14ac:dyDescent="0.25">
      <c r="A115" s="81"/>
      <c r="B115" s="82"/>
      <c r="C115" s="83"/>
      <c r="D115" s="84"/>
      <c r="E115" s="84"/>
      <c r="F115" s="84"/>
      <c r="G115" s="84"/>
      <c r="H115" s="84"/>
      <c r="I115" s="84"/>
      <c r="J115" s="84"/>
      <c r="K115" s="84"/>
    </row>
    <row r="116" spans="1:11" ht="15.75" x14ac:dyDescent="0.25">
      <c r="A116" s="81"/>
      <c r="B116" s="82"/>
      <c r="C116" s="83"/>
      <c r="D116" s="84"/>
      <c r="E116" s="84"/>
      <c r="F116" s="84"/>
      <c r="G116" s="84"/>
      <c r="H116" s="84"/>
      <c r="I116" s="84"/>
      <c r="J116" s="84"/>
      <c r="K116" s="84"/>
    </row>
    <row r="117" spans="1:11" ht="15.75" x14ac:dyDescent="0.25">
      <c r="A117" s="81"/>
      <c r="B117" s="82"/>
      <c r="C117" s="83"/>
      <c r="D117" s="84"/>
      <c r="E117" s="84"/>
      <c r="F117" s="84"/>
      <c r="G117" s="84"/>
      <c r="H117" s="84"/>
      <c r="I117" s="84"/>
      <c r="J117" s="84"/>
      <c r="K117" s="84"/>
    </row>
    <row r="118" spans="1:11" ht="15.75" x14ac:dyDescent="0.25">
      <c r="A118" s="81"/>
      <c r="B118" s="82"/>
      <c r="C118" s="83"/>
      <c r="D118" s="84"/>
      <c r="E118" s="84"/>
      <c r="F118" s="84"/>
      <c r="G118" s="84"/>
      <c r="H118" s="84"/>
      <c r="I118" s="84"/>
      <c r="J118" s="84"/>
      <c r="K118" s="84"/>
    </row>
    <row r="119" spans="1:11" ht="15.75" x14ac:dyDescent="0.25">
      <c r="A119" s="81"/>
      <c r="B119" s="82"/>
      <c r="C119" s="83"/>
      <c r="D119" s="84"/>
      <c r="E119" s="84"/>
      <c r="F119" s="84"/>
      <c r="G119" s="84"/>
      <c r="H119" s="84"/>
      <c r="I119" s="84"/>
      <c r="J119" s="84"/>
      <c r="K119" s="84"/>
    </row>
    <row r="120" spans="1:11" ht="15.75" x14ac:dyDescent="0.25">
      <c r="A120" s="81"/>
      <c r="B120" s="82"/>
      <c r="C120" s="83"/>
      <c r="D120" s="84"/>
      <c r="E120" s="84"/>
      <c r="F120" s="84"/>
      <c r="G120" s="84"/>
      <c r="H120" s="84"/>
      <c r="I120" s="84"/>
      <c r="J120" s="84"/>
      <c r="K120" s="84"/>
    </row>
    <row r="121" spans="1:11" ht="15.75" x14ac:dyDescent="0.25">
      <c r="A121" s="81"/>
      <c r="B121" s="82"/>
      <c r="C121" s="83"/>
      <c r="D121" s="84"/>
      <c r="E121" s="84"/>
      <c r="F121" s="84"/>
      <c r="G121" s="84"/>
      <c r="H121" s="84"/>
      <c r="I121" s="84"/>
      <c r="J121" s="84"/>
      <c r="K121" s="84"/>
    </row>
    <row r="122" spans="1:11" ht="15.75" x14ac:dyDescent="0.25">
      <c r="A122" s="81"/>
      <c r="B122" s="82"/>
      <c r="C122" s="83"/>
      <c r="D122" s="84"/>
      <c r="E122" s="84"/>
      <c r="F122" s="84"/>
      <c r="G122" s="84"/>
      <c r="H122" s="84"/>
      <c r="I122" s="84"/>
      <c r="J122" s="84"/>
      <c r="K122" s="84"/>
    </row>
    <row r="123" spans="1:11" ht="15.75" x14ac:dyDescent="0.25">
      <c r="A123" s="81"/>
      <c r="B123" s="82"/>
      <c r="C123" s="83"/>
      <c r="D123" s="84"/>
      <c r="E123" s="84"/>
      <c r="F123" s="84"/>
      <c r="G123" s="84"/>
      <c r="H123" s="84"/>
      <c r="I123" s="84"/>
      <c r="J123" s="84"/>
      <c r="K123" s="84"/>
    </row>
    <row r="124" spans="1:11" ht="15.75" x14ac:dyDescent="0.25">
      <c r="A124" s="81"/>
      <c r="B124" s="82"/>
      <c r="C124" s="83"/>
      <c r="D124" s="84"/>
      <c r="E124" s="84"/>
      <c r="F124" s="84"/>
      <c r="G124" s="84"/>
      <c r="H124" s="84"/>
      <c r="I124" s="84"/>
      <c r="J124" s="84"/>
      <c r="K124" s="84"/>
    </row>
    <row r="125" spans="1:11" ht="15.75" x14ac:dyDescent="0.25">
      <c r="A125" s="81"/>
      <c r="B125" s="82"/>
      <c r="C125" s="83"/>
      <c r="D125" s="84"/>
      <c r="E125" s="84"/>
      <c r="F125" s="84"/>
      <c r="G125" s="84"/>
      <c r="H125" s="84"/>
      <c r="I125" s="84"/>
      <c r="J125" s="84"/>
      <c r="K125" s="84"/>
    </row>
    <row r="126" spans="1:11" ht="15.75" x14ac:dyDescent="0.25">
      <c r="A126" s="81"/>
      <c r="B126" s="82"/>
      <c r="C126" s="83"/>
      <c r="D126" s="84"/>
      <c r="E126" s="84"/>
      <c r="F126" s="84"/>
      <c r="G126" s="84"/>
      <c r="H126" s="84"/>
      <c r="I126" s="84"/>
      <c r="J126" s="84"/>
      <c r="K126" s="84"/>
    </row>
    <row r="127" spans="1:11" ht="15.75" x14ac:dyDescent="0.25">
      <c r="A127" s="81"/>
      <c r="B127" s="82"/>
      <c r="C127" s="83"/>
      <c r="D127" s="84"/>
      <c r="E127" s="84"/>
      <c r="F127" s="84"/>
      <c r="G127" s="84"/>
      <c r="H127" s="84"/>
      <c r="I127" s="84"/>
      <c r="J127" s="84"/>
      <c r="K127" s="84"/>
    </row>
    <row r="128" spans="1:11" ht="15.75" x14ac:dyDescent="0.25">
      <c r="A128" s="81"/>
      <c r="B128" s="82"/>
      <c r="C128" s="83"/>
      <c r="D128" s="84"/>
      <c r="E128" s="84"/>
      <c r="F128" s="84"/>
      <c r="G128" s="84"/>
      <c r="H128" s="84"/>
      <c r="I128" s="84"/>
      <c r="J128" s="84"/>
      <c r="K128" s="84"/>
    </row>
    <row r="129" spans="1:11" ht="15.75" x14ac:dyDescent="0.25">
      <c r="A129" s="81"/>
      <c r="B129" s="82"/>
      <c r="C129" s="83"/>
      <c r="D129" s="84"/>
      <c r="E129" s="84"/>
      <c r="F129" s="84"/>
      <c r="G129" s="84"/>
      <c r="H129" s="84"/>
      <c r="I129" s="84"/>
      <c r="J129" s="84"/>
      <c r="K129" s="84"/>
    </row>
    <row r="130" spans="1:11" ht="15.75" x14ac:dyDescent="0.25">
      <c r="A130" s="81"/>
      <c r="B130" s="82"/>
      <c r="C130" s="83"/>
      <c r="D130" s="84"/>
      <c r="E130" s="84"/>
      <c r="F130" s="84"/>
      <c r="G130" s="84"/>
      <c r="H130" s="84"/>
      <c r="I130" s="84"/>
      <c r="J130" s="84"/>
      <c r="K130" s="84"/>
    </row>
    <row r="131" spans="1:11" ht="15.75" x14ac:dyDescent="0.25">
      <c r="A131" s="81"/>
      <c r="B131" s="82"/>
      <c r="C131" s="83"/>
      <c r="D131" s="84"/>
      <c r="E131" s="84"/>
      <c r="F131" s="84"/>
      <c r="G131" s="84"/>
      <c r="H131" s="84"/>
      <c r="I131" s="84"/>
      <c r="J131" s="84"/>
      <c r="K131" s="84"/>
    </row>
    <row r="132" spans="1:11" ht="15.75" x14ac:dyDescent="0.25">
      <c r="A132" s="81"/>
      <c r="B132" s="82"/>
      <c r="C132" s="83"/>
      <c r="D132" s="84"/>
      <c r="E132" s="84"/>
      <c r="F132" s="84"/>
      <c r="G132" s="84"/>
      <c r="H132" s="84"/>
      <c r="I132" s="84"/>
      <c r="J132" s="84"/>
      <c r="K132" s="84"/>
    </row>
    <row r="133" spans="1:11" ht="15.75" x14ac:dyDescent="0.25">
      <c r="A133" s="81"/>
      <c r="B133" s="82"/>
      <c r="C133" s="83"/>
      <c r="D133" s="84"/>
      <c r="E133" s="84"/>
      <c r="F133" s="84"/>
      <c r="G133" s="84"/>
      <c r="H133" s="84"/>
      <c r="I133" s="84"/>
      <c r="J133" s="84"/>
      <c r="K133" s="84"/>
    </row>
    <row r="134" spans="1:11" ht="15.75" x14ac:dyDescent="0.25">
      <c r="A134" s="81"/>
      <c r="B134" s="82"/>
      <c r="C134" s="83"/>
      <c r="D134" s="84"/>
      <c r="E134" s="84"/>
      <c r="F134" s="84"/>
      <c r="G134" s="84"/>
      <c r="H134" s="84"/>
      <c r="I134" s="84"/>
      <c r="J134" s="84"/>
      <c r="K134" s="84"/>
    </row>
    <row r="135" spans="1:11" ht="15.75" x14ac:dyDescent="0.25">
      <c r="A135" s="81"/>
      <c r="B135" s="82"/>
      <c r="C135" s="83"/>
      <c r="D135" s="84"/>
      <c r="E135" s="84"/>
      <c r="F135" s="84"/>
      <c r="G135" s="84"/>
      <c r="H135" s="84"/>
      <c r="I135" s="84"/>
      <c r="J135" s="84"/>
      <c r="K135" s="84"/>
    </row>
    <row r="136" spans="1:11" ht="15.75" x14ac:dyDescent="0.25">
      <c r="A136" s="81"/>
      <c r="B136" s="82"/>
      <c r="C136" s="83"/>
      <c r="D136" s="84"/>
      <c r="E136" s="84"/>
      <c r="F136" s="84"/>
      <c r="G136" s="84"/>
      <c r="H136" s="84"/>
      <c r="I136" s="84"/>
      <c r="J136" s="84"/>
      <c r="K136" s="84"/>
    </row>
    <row r="137" spans="1:11" ht="15.75" x14ac:dyDescent="0.25">
      <c r="A137" s="81"/>
      <c r="B137" s="82"/>
      <c r="C137" s="83"/>
      <c r="D137" s="84"/>
      <c r="E137" s="84"/>
      <c r="F137" s="84"/>
      <c r="G137" s="84"/>
      <c r="H137" s="84"/>
      <c r="I137" s="84"/>
      <c r="J137" s="84"/>
      <c r="K137" s="84"/>
    </row>
    <row r="138" spans="1:11" ht="15.75" x14ac:dyDescent="0.25">
      <c r="A138" s="81"/>
      <c r="B138" s="82"/>
      <c r="C138" s="83"/>
      <c r="D138" s="84"/>
      <c r="E138" s="84"/>
      <c r="F138" s="84"/>
      <c r="G138" s="84"/>
      <c r="H138" s="84"/>
      <c r="I138" s="84"/>
      <c r="J138" s="84"/>
      <c r="K138" s="84"/>
    </row>
    <row r="139" spans="1:11" ht="15.75" x14ac:dyDescent="0.25">
      <c r="A139" s="81"/>
      <c r="B139" s="82"/>
      <c r="C139" s="83"/>
      <c r="D139" s="84"/>
      <c r="E139" s="84"/>
      <c r="F139" s="84"/>
      <c r="G139" s="84"/>
      <c r="H139" s="84"/>
      <c r="I139" s="84"/>
      <c r="J139" s="84"/>
      <c r="K139" s="84"/>
    </row>
    <row r="140" spans="1:11" ht="15.75" x14ac:dyDescent="0.25">
      <c r="A140" s="81"/>
      <c r="B140" s="82"/>
      <c r="C140" s="83"/>
      <c r="D140" s="84"/>
      <c r="E140" s="84"/>
      <c r="F140" s="84"/>
      <c r="G140" s="84"/>
      <c r="H140" s="84"/>
      <c r="I140" s="84"/>
      <c r="J140" s="84"/>
      <c r="K140" s="84"/>
    </row>
    <row r="141" spans="1:11" ht="15.75" x14ac:dyDescent="0.25">
      <c r="A141" s="81"/>
      <c r="B141" s="82"/>
      <c r="C141" s="83"/>
      <c r="D141" s="84"/>
      <c r="E141" s="84"/>
      <c r="F141" s="84"/>
      <c r="G141" s="84"/>
      <c r="H141" s="84"/>
      <c r="I141" s="84"/>
      <c r="J141" s="84"/>
      <c r="K141" s="84"/>
    </row>
    <row r="142" spans="1:11" ht="15.75" x14ac:dyDescent="0.25">
      <c r="A142" s="81"/>
      <c r="B142" s="82"/>
      <c r="C142" s="83"/>
      <c r="D142" s="84"/>
      <c r="E142" s="84"/>
      <c r="F142" s="84"/>
      <c r="G142" s="84"/>
      <c r="H142" s="84"/>
      <c r="I142" s="84"/>
      <c r="J142" s="84"/>
      <c r="K142" s="84"/>
    </row>
    <row r="143" spans="1:11" ht="15.75" x14ac:dyDescent="0.25">
      <c r="A143" s="81"/>
      <c r="B143" s="82"/>
      <c r="C143" s="83"/>
      <c r="D143" s="84"/>
      <c r="E143" s="84"/>
      <c r="F143" s="84"/>
      <c r="G143" s="84"/>
      <c r="H143" s="84"/>
      <c r="I143" s="84"/>
      <c r="J143" s="84"/>
      <c r="K143" s="84"/>
    </row>
    <row r="144" spans="1:11" ht="15.75" x14ac:dyDescent="0.25">
      <c r="A144" s="81"/>
      <c r="B144" s="82"/>
      <c r="C144" s="83"/>
      <c r="D144" s="84"/>
      <c r="E144" s="84"/>
      <c r="F144" s="84"/>
      <c r="G144" s="84"/>
      <c r="H144" s="84"/>
      <c r="I144" s="84"/>
      <c r="J144" s="84"/>
      <c r="K144" s="84"/>
    </row>
    <row r="145" spans="1:11" ht="15.75" x14ac:dyDescent="0.25">
      <c r="A145" s="81"/>
      <c r="B145" s="82"/>
      <c r="C145" s="83"/>
      <c r="D145" s="84"/>
      <c r="E145" s="84"/>
      <c r="F145" s="84"/>
      <c r="G145" s="84"/>
      <c r="H145" s="84"/>
      <c r="I145" s="84"/>
      <c r="J145" s="84"/>
      <c r="K145" s="84"/>
    </row>
    <row r="146" spans="1:11" ht="15.75" x14ac:dyDescent="0.25">
      <c r="A146" s="81"/>
      <c r="B146" s="82"/>
      <c r="C146" s="83"/>
      <c r="D146" s="84"/>
      <c r="E146" s="84"/>
      <c r="F146" s="84"/>
      <c r="G146" s="84"/>
      <c r="H146" s="84"/>
      <c r="I146" s="84"/>
      <c r="J146" s="84"/>
      <c r="K146" s="84"/>
    </row>
    <row r="147" spans="1:11" ht="15.75" x14ac:dyDescent="0.25">
      <c r="A147" s="81"/>
      <c r="B147" s="82"/>
      <c r="C147" s="83"/>
      <c r="D147" s="84"/>
      <c r="E147" s="84"/>
      <c r="F147" s="84"/>
      <c r="G147" s="84"/>
      <c r="H147" s="84"/>
      <c r="I147" s="84"/>
      <c r="J147" s="84"/>
      <c r="K147" s="84"/>
    </row>
    <row r="148" spans="1:11" ht="15.75" x14ac:dyDescent="0.25">
      <c r="A148" s="81"/>
      <c r="B148" s="82"/>
      <c r="C148" s="83"/>
      <c r="D148" s="84"/>
      <c r="E148" s="84"/>
      <c r="F148" s="84"/>
      <c r="G148" s="84"/>
      <c r="H148" s="84"/>
      <c r="I148" s="84"/>
      <c r="J148" s="84"/>
      <c r="K148" s="84"/>
    </row>
    <row r="149" spans="1:11" ht="15.75" x14ac:dyDescent="0.25">
      <c r="A149" s="81"/>
      <c r="B149" s="82"/>
      <c r="C149" s="83"/>
      <c r="D149" s="84"/>
      <c r="E149" s="84"/>
      <c r="F149" s="84"/>
      <c r="G149" s="84"/>
      <c r="H149" s="84"/>
      <c r="I149" s="84"/>
      <c r="J149" s="84"/>
      <c r="K149" s="84"/>
    </row>
    <row r="150" spans="1:11" ht="15.75" x14ac:dyDescent="0.25">
      <c r="A150" s="81"/>
      <c r="B150" s="82"/>
      <c r="C150" s="83"/>
      <c r="D150" s="84"/>
      <c r="E150" s="84"/>
      <c r="F150" s="84"/>
      <c r="G150" s="84"/>
      <c r="H150" s="84"/>
      <c r="I150" s="84"/>
      <c r="J150" s="84"/>
      <c r="K150" s="84"/>
    </row>
    <row r="151" spans="1:11" ht="15.75" x14ac:dyDescent="0.25">
      <c r="A151" s="81"/>
      <c r="B151" s="82"/>
      <c r="C151" s="83"/>
      <c r="D151" s="84"/>
      <c r="E151" s="84"/>
      <c r="F151" s="84"/>
      <c r="G151" s="84"/>
      <c r="H151" s="84"/>
      <c r="I151" s="84"/>
      <c r="J151" s="84"/>
      <c r="K151" s="84"/>
    </row>
    <row r="152" spans="1:11" ht="15.75" x14ac:dyDescent="0.25">
      <c r="A152" s="81"/>
      <c r="B152" s="82"/>
      <c r="C152" s="83"/>
      <c r="D152" s="84"/>
      <c r="E152" s="84"/>
      <c r="F152" s="84"/>
      <c r="G152" s="84"/>
      <c r="H152" s="84"/>
      <c r="I152" s="84"/>
      <c r="J152" s="84"/>
      <c r="K152" s="84"/>
    </row>
    <row r="153" spans="1:11" ht="15.75" x14ac:dyDescent="0.25">
      <c r="A153" s="81"/>
      <c r="B153" s="82"/>
      <c r="C153" s="83"/>
      <c r="D153" s="84"/>
      <c r="E153" s="84"/>
      <c r="F153" s="84"/>
      <c r="G153" s="84"/>
      <c r="H153" s="84"/>
      <c r="I153" s="84"/>
      <c r="J153" s="84"/>
      <c r="K153" s="84"/>
    </row>
    <row r="154" spans="1:11" ht="15.75" x14ac:dyDescent="0.25">
      <c r="A154" s="81"/>
      <c r="B154" s="82"/>
      <c r="C154" s="83"/>
      <c r="D154" s="84"/>
      <c r="E154" s="84"/>
      <c r="F154" s="84"/>
      <c r="G154" s="84"/>
      <c r="H154" s="84"/>
      <c r="I154" s="84"/>
      <c r="J154" s="84"/>
      <c r="K154" s="84"/>
    </row>
    <row r="155" spans="1:11" ht="15.75" x14ac:dyDescent="0.25">
      <c r="A155" s="81"/>
      <c r="B155" s="82"/>
      <c r="C155" s="83"/>
      <c r="D155" s="84"/>
      <c r="E155" s="84"/>
      <c r="F155" s="84"/>
      <c r="G155" s="84"/>
      <c r="H155" s="84"/>
      <c r="I155" s="84"/>
      <c r="J155" s="84"/>
      <c r="K155" s="84"/>
    </row>
    <row r="156" spans="1:11" ht="15.75" x14ac:dyDescent="0.25">
      <c r="A156" s="81"/>
      <c r="B156" s="82"/>
      <c r="C156" s="83"/>
      <c r="D156" s="84"/>
      <c r="E156" s="84"/>
      <c r="F156" s="84"/>
      <c r="G156" s="84"/>
      <c r="H156" s="84"/>
      <c r="I156" s="84"/>
      <c r="J156" s="84"/>
      <c r="K156" s="84"/>
    </row>
    <row r="157" spans="1:11" ht="15.75" x14ac:dyDescent="0.25">
      <c r="A157" s="81"/>
      <c r="B157" s="82"/>
      <c r="C157" s="83"/>
      <c r="D157" s="84"/>
      <c r="E157" s="84"/>
      <c r="F157" s="84"/>
      <c r="G157" s="84"/>
      <c r="H157" s="84"/>
      <c r="I157" s="84"/>
      <c r="J157" s="84"/>
      <c r="K157" s="84"/>
    </row>
    <row r="158" spans="1:11" ht="15.75" x14ac:dyDescent="0.25">
      <c r="A158" s="81"/>
      <c r="B158" s="82"/>
      <c r="C158" s="83"/>
      <c r="D158" s="84"/>
      <c r="E158" s="84"/>
      <c r="F158" s="84"/>
      <c r="G158" s="84"/>
      <c r="H158" s="84"/>
      <c r="I158" s="84"/>
      <c r="J158" s="84"/>
      <c r="K158" s="84"/>
    </row>
    <row r="159" spans="1:11" ht="15.75" x14ac:dyDescent="0.25">
      <c r="A159" s="81"/>
      <c r="B159" s="82"/>
      <c r="C159" s="83"/>
      <c r="D159" s="84"/>
      <c r="E159" s="84"/>
      <c r="F159" s="84"/>
      <c r="G159" s="84"/>
      <c r="H159" s="84"/>
      <c r="I159" s="84"/>
      <c r="J159" s="84"/>
      <c r="K159" s="84"/>
    </row>
    <row r="160" spans="1:11" ht="15.75" x14ac:dyDescent="0.25">
      <c r="A160" s="81"/>
      <c r="B160" s="82"/>
      <c r="C160" s="83"/>
      <c r="D160" s="84"/>
      <c r="E160" s="84"/>
      <c r="F160" s="84"/>
      <c r="G160" s="84"/>
      <c r="H160" s="84"/>
      <c r="I160" s="84"/>
      <c r="J160" s="84"/>
      <c r="K160" s="84"/>
    </row>
    <row r="161" spans="1:11" ht="15.75" x14ac:dyDescent="0.25">
      <c r="A161" s="81"/>
      <c r="B161" s="82"/>
      <c r="C161" s="83"/>
      <c r="D161" s="84"/>
      <c r="E161" s="84"/>
      <c r="F161" s="84"/>
      <c r="G161" s="84"/>
      <c r="H161" s="84"/>
      <c r="I161" s="84"/>
      <c r="J161" s="84"/>
      <c r="K161" s="84"/>
    </row>
    <row r="162" spans="1:11" ht="15.75" x14ac:dyDescent="0.25">
      <c r="A162" s="81"/>
      <c r="B162" s="82"/>
      <c r="C162" s="83"/>
      <c r="D162" s="84"/>
      <c r="E162" s="84"/>
      <c r="F162" s="84"/>
      <c r="G162" s="84"/>
      <c r="H162" s="84"/>
      <c r="I162" s="84"/>
      <c r="J162" s="84"/>
      <c r="K162" s="84"/>
    </row>
    <row r="163" spans="1:11" ht="15.75" x14ac:dyDescent="0.25">
      <c r="A163" s="81"/>
      <c r="B163" s="82"/>
      <c r="C163" s="83"/>
      <c r="D163" s="84"/>
      <c r="E163" s="84"/>
      <c r="F163" s="84"/>
      <c r="G163" s="84"/>
      <c r="H163" s="84"/>
      <c r="I163" s="84"/>
      <c r="J163" s="84"/>
      <c r="K163" s="84"/>
    </row>
    <row r="164" spans="1:11" ht="15.75" x14ac:dyDescent="0.25">
      <c r="A164" s="81"/>
      <c r="B164" s="82"/>
      <c r="C164" s="83"/>
      <c r="D164" s="84"/>
      <c r="E164" s="84"/>
      <c r="F164" s="84"/>
      <c r="G164" s="84"/>
      <c r="H164" s="84"/>
      <c r="I164" s="84"/>
      <c r="J164" s="84"/>
      <c r="K164" s="84"/>
    </row>
    <row r="165" spans="1:11" ht="15.75" x14ac:dyDescent="0.25">
      <c r="A165" s="81"/>
      <c r="B165" s="82"/>
      <c r="C165" s="83"/>
      <c r="D165" s="84"/>
      <c r="E165" s="84"/>
      <c r="F165" s="84"/>
      <c r="G165" s="84"/>
      <c r="H165" s="84"/>
      <c r="I165" s="84"/>
      <c r="J165" s="84"/>
      <c r="K165" s="84"/>
    </row>
    <row r="166" spans="1:11" ht="15.75" x14ac:dyDescent="0.25">
      <c r="A166" s="81"/>
      <c r="B166" s="82"/>
      <c r="C166" s="83"/>
      <c r="D166" s="84"/>
      <c r="E166" s="84"/>
      <c r="F166" s="84"/>
      <c r="G166" s="84"/>
      <c r="H166" s="84"/>
      <c r="I166" s="84"/>
      <c r="J166" s="84"/>
      <c r="K166" s="84"/>
    </row>
    <row r="167" spans="1:11" ht="15.75" x14ac:dyDescent="0.25">
      <c r="A167" s="81"/>
      <c r="B167" s="82"/>
      <c r="C167" s="83"/>
      <c r="D167" s="84"/>
      <c r="E167" s="84"/>
      <c r="F167" s="84"/>
      <c r="G167" s="84"/>
      <c r="H167" s="84"/>
      <c r="I167" s="84"/>
      <c r="J167" s="84"/>
      <c r="K167" s="84"/>
    </row>
    <row r="168" spans="1:11" ht="15.75" x14ac:dyDescent="0.25">
      <c r="A168" s="81"/>
      <c r="B168" s="82"/>
      <c r="C168" s="83"/>
      <c r="D168" s="84"/>
      <c r="E168" s="84"/>
      <c r="F168" s="84"/>
      <c r="G168" s="84"/>
      <c r="H168" s="84"/>
      <c r="I168" s="84"/>
      <c r="J168" s="84"/>
      <c r="K168" s="84"/>
    </row>
    <row r="169" spans="1:11" ht="15.75" x14ac:dyDescent="0.25">
      <c r="A169" s="81"/>
      <c r="B169" s="82"/>
      <c r="C169" s="83"/>
      <c r="D169" s="84"/>
      <c r="E169" s="84"/>
      <c r="F169" s="84"/>
      <c r="G169" s="84"/>
      <c r="H169" s="84"/>
      <c r="I169" s="84"/>
      <c r="J169" s="84"/>
      <c r="K169" s="84"/>
    </row>
    <row r="170" spans="1:11" ht="15.75" x14ac:dyDescent="0.25">
      <c r="A170" s="81"/>
      <c r="B170" s="82"/>
      <c r="C170" s="83"/>
      <c r="D170" s="84"/>
      <c r="E170" s="84"/>
      <c r="F170" s="84"/>
      <c r="G170" s="84"/>
      <c r="H170" s="84"/>
      <c r="I170" s="84"/>
      <c r="J170" s="84"/>
      <c r="K170" s="84"/>
    </row>
    <row r="171" spans="1:11" ht="15.75" x14ac:dyDescent="0.25">
      <c r="A171" s="81"/>
      <c r="B171" s="82"/>
      <c r="C171" s="83"/>
      <c r="D171" s="84"/>
      <c r="E171" s="84"/>
      <c r="F171" s="84"/>
      <c r="G171" s="84"/>
      <c r="H171" s="84"/>
      <c r="I171" s="84"/>
      <c r="J171" s="84"/>
      <c r="K171" s="84"/>
    </row>
    <row r="172" spans="1:11" ht="15.75" x14ac:dyDescent="0.25">
      <c r="A172" s="81"/>
      <c r="B172" s="82"/>
      <c r="C172" s="83"/>
      <c r="D172" s="84"/>
      <c r="E172" s="84"/>
      <c r="F172" s="84"/>
      <c r="G172" s="84"/>
      <c r="H172" s="84"/>
      <c r="I172" s="84"/>
      <c r="J172" s="84"/>
      <c r="K172" s="84"/>
    </row>
    <row r="173" spans="1:11" ht="15.75" x14ac:dyDescent="0.25">
      <c r="A173" s="81"/>
      <c r="B173" s="82"/>
      <c r="C173" s="83"/>
      <c r="D173" s="84"/>
      <c r="E173" s="84"/>
      <c r="F173" s="84"/>
      <c r="G173" s="84"/>
      <c r="H173" s="84"/>
      <c r="I173" s="84"/>
      <c r="J173" s="84"/>
      <c r="K173" s="84"/>
    </row>
    <row r="174" spans="1:11" ht="15.75" x14ac:dyDescent="0.25">
      <c r="A174" s="81"/>
      <c r="B174" s="82"/>
      <c r="C174" s="83"/>
      <c r="D174" s="84"/>
      <c r="E174" s="84"/>
      <c r="F174" s="84"/>
      <c r="G174" s="84"/>
      <c r="H174" s="84"/>
      <c r="I174" s="84"/>
      <c r="J174" s="84"/>
      <c r="K174" s="84"/>
    </row>
    <row r="175" spans="1:11" ht="15.75" x14ac:dyDescent="0.25">
      <c r="A175" s="81"/>
      <c r="B175" s="82"/>
      <c r="C175" s="83"/>
      <c r="D175" s="84"/>
      <c r="E175" s="84"/>
      <c r="F175" s="84"/>
      <c r="G175" s="84"/>
      <c r="H175" s="84"/>
      <c r="I175" s="84"/>
      <c r="J175" s="84"/>
      <c r="K175" s="84"/>
    </row>
    <row r="176" spans="1:11" ht="15.75" x14ac:dyDescent="0.25">
      <c r="A176" s="81"/>
      <c r="B176" s="82"/>
      <c r="C176" s="83"/>
      <c r="D176" s="84"/>
      <c r="E176" s="84"/>
      <c r="F176" s="84"/>
      <c r="G176" s="84"/>
      <c r="H176" s="84"/>
      <c r="I176" s="84"/>
      <c r="J176" s="84"/>
      <c r="K176" s="84"/>
    </row>
    <row r="177" spans="1:11" ht="15.75" x14ac:dyDescent="0.25">
      <c r="A177" s="81"/>
      <c r="B177" s="82"/>
      <c r="C177" s="83"/>
      <c r="D177" s="84"/>
      <c r="E177" s="84"/>
      <c r="F177" s="84"/>
      <c r="G177" s="84"/>
      <c r="H177" s="84"/>
      <c r="I177" s="84"/>
      <c r="J177" s="84"/>
      <c r="K177" s="84"/>
    </row>
    <row r="178" spans="1:11" ht="15.75" x14ac:dyDescent="0.25">
      <c r="A178" s="81"/>
      <c r="B178" s="82"/>
      <c r="C178" s="83"/>
      <c r="D178" s="84"/>
      <c r="E178" s="84"/>
      <c r="F178" s="84"/>
      <c r="G178" s="84"/>
      <c r="H178" s="84"/>
      <c r="I178" s="84"/>
      <c r="J178" s="84"/>
      <c r="K178" s="84"/>
    </row>
    <row r="179" spans="1:11" ht="15.75" x14ac:dyDescent="0.25">
      <c r="A179" s="81"/>
      <c r="B179" s="82"/>
      <c r="C179" s="83"/>
      <c r="D179" s="84"/>
      <c r="E179" s="84"/>
      <c r="F179" s="84"/>
      <c r="G179" s="84"/>
      <c r="H179" s="84"/>
      <c r="I179" s="84"/>
      <c r="J179" s="84"/>
      <c r="K179" s="84"/>
    </row>
    <row r="180" spans="1:11" ht="15.75" x14ac:dyDescent="0.25">
      <c r="A180" s="81"/>
      <c r="B180" s="82"/>
      <c r="C180" s="83"/>
      <c r="D180" s="84"/>
      <c r="E180" s="84"/>
      <c r="F180" s="84"/>
      <c r="G180" s="84"/>
      <c r="H180" s="84"/>
      <c r="I180" s="84"/>
      <c r="J180" s="84"/>
      <c r="K180" s="84"/>
    </row>
    <row r="181" spans="1:11" ht="15.75" x14ac:dyDescent="0.25">
      <c r="A181" s="81"/>
      <c r="B181" s="82"/>
      <c r="C181" s="83"/>
      <c r="D181" s="84"/>
      <c r="E181" s="84"/>
      <c r="F181" s="84"/>
      <c r="G181" s="84"/>
      <c r="H181" s="84"/>
      <c r="I181" s="84"/>
      <c r="J181" s="84"/>
      <c r="K181" s="84"/>
    </row>
    <row r="182" spans="1:11" ht="15.75" x14ac:dyDescent="0.25">
      <c r="A182" s="81"/>
      <c r="B182" s="82"/>
      <c r="C182" s="83"/>
      <c r="D182" s="84"/>
      <c r="E182" s="84"/>
      <c r="F182" s="84"/>
      <c r="G182" s="84"/>
      <c r="H182" s="84"/>
      <c r="I182" s="84"/>
      <c r="J182" s="84"/>
      <c r="K182" s="84"/>
    </row>
    <row r="183" spans="1:11" ht="15.75" x14ac:dyDescent="0.25">
      <c r="A183" s="81"/>
      <c r="B183" s="82"/>
      <c r="C183" s="83"/>
      <c r="D183" s="84"/>
      <c r="E183" s="84"/>
      <c r="F183" s="84"/>
      <c r="G183" s="84"/>
      <c r="H183" s="84"/>
      <c r="I183" s="84"/>
      <c r="J183" s="84"/>
      <c r="K183" s="84"/>
    </row>
    <row r="184" spans="1:11" ht="15.75" x14ac:dyDescent="0.25">
      <c r="A184" s="81"/>
      <c r="B184" s="82"/>
      <c r="C184" s="83"/>
      <c r="D184" s="84"/>
      <c r="E184" s="84"/>
      <c r="F184" s="84"/>
      <c r="G184" s="84"/>
      <c r="H184" s="84"/>
      <c r="I184" s="84"/>
      <c r="J184" s="84"/>
      <c r="K184" s="84"/>
    </row>
    <row r="185" spans="1:11" ht="15.75" x14ac:dyDescent="0.25">
      <c r="A185" s="81"/>
      <c r="B185" s="82"/>
      <c r="C185" s="83"/>
      <c r="D185" s="84"/>
      <c r="E185" s="84"/>
      <c r="F185" s="84"/>
      <c r="G185" s="84"/>
      <c r="H185" s="84"/>
      <c r="I185" s="84"/>
      <c r="J185" s="84"/>
      <c r="K185" s="84"/>
    </row>
    <row r="186" spans="1:11" ht="15.75" x14ac:dyDescent="0.25">
      <c r="A186" s="81"/>
      <c r="B186" s="82"/>
      <c r="C186" s="83"/>
      <c r="D186" s="84"/>
      <c r="E186" s="84"/>
      <c r="F186" s="84"/>
      <c r="G186" s="84"/>
      <c r="H186" s="84"/>
      <c r="I186" s="84"/>
      <c r="J186" s="84"/>
      <c r="K186" s="84"/>
    </row>
    <row r="187" spans="1:11" ht="15.75" x14ac:dyDescent="0.25">
      <c r="A187" s="81"/>
      <c r="B187" s="82"/>
      <c r="C187" s="83"/>
      <c r="D187" s="84"/>
      <c r="E187" s="84"/>
      <c r="F187" s="84"/>
      <c r="G187" s="84"/>
      <c r="H187" s="84"/>
      <c r="I187" s="84"/>
      <c r="J187" s="84"/>
      <c r="K187" s="84"/>
    </row>
    <row r="188" spans="1:11" ht="15.75" x14ac:dyDescent="0.25">
      <c r="A188" s="81"/>
      <c r="B188" s="82"/>
      <c r="C188" s="83"/>
      <c r="D188" s="84"/>
      <c r="E188" s="84"/>
      <c r="F188" s="84"/>
      <c r="G188" s="84"/>
      <c r="H188" s="84"/>
      <c r="I188" s="84"/>
      <c r="J188" s="84"/>
      <c r="K188" s="84"/>
    </row>
    <row r="189" spans="1:11" ht="15.75" x14ac:dyDescent="0.25">
      <c r="A189" s="81"/>
      <c r="B189" s="82"/>
      <c r="C189" s="83"/>
      <c r="D189" s="84"/>
      <c r="E189" s="84"/>
      <c r="F189" s="84"/>
      <c r="G189" s="84"/>
      <c r="H189" s="84"/>
      <c r="I189" s="84"/>
      <c r="J189" s="84"/>
      <c r="K189" s="84"/>
    </row>
    <row r="190" spans="1:11" ht="15.75" x14ac:dyDescent="0.25">
      <c r="A190" s="81"/>
      <c r="B190" s="82"/>
      <c r="C190" s="83"/>
      <c r="D190" s="84"/>
      <c r="E190" s="84"/>
      <c r="F190" s="84"/>
      <c r="G190" s="84"/>
      <c r="H190" s="84"/>
      <c r="I190" s="84"/>
      <c r="J190" s="84"/>
      <c r="K190" s="84"/>
    </row>
    <row r="191" spans="1:11" ht="15.75" x14ac:dyDescent="0.25">
      <c r="A191" s="81"/>
      <c r="B191" s="82"/>
      <c r="C191" s="83"/>
      <c r="D191" s="84"/>
      <c r="E191" s="84"/>
      <c r="F191" s="84"/>
      <c r="G191" s="84"/>
      <c r="H191" s="84"/>
      <c r="I191" s="84"/>
      <c r="J191" s="84"/>
      <c r="K191" s="84"/>
    </row>
    <row r="192" spans="1:11" ht="15.75" x14ac:dyDescent="0.25">
      <c r="A192" s="81"/>
      <c r="B192" s="82"/>
      <c r="C192" s="83"/>
      <c r="D192" s="84"/>
      <c r="E192" s="84"/>
      <c r="F192" s="84"/>
      <c r="G192" s="84"/>
      <c r="H192" s="84"/>
      <c r="I192" s="84"/>
      <c r="J192" s="84"/>
      <c r="K192" s="84"/>
    </row>
    <row r="193" spans="1:11" ht="15.75" x14ac:dyDescent="0.25">
      <c r="A193" s="81"/>
      <c r="B193" s="82"/>
      <c r="C193" s="83"/>
      <c r="D193" s="84"/>
      <c r="E193" s="84"/>
      <c r="F193" s="84"/>
      <c r="G193" s="84"/>
      <c r="H193" s="84"/>
      <c r="I193" s="84"/>
      <c r="J193" s="84"/>
      <c r="K193" s="84"/>
    </row>
    <row r="194" spans="1:11" ht="15.75" x14ac:dyDescent="0.25">
      <c r="A194" s="81"/>
      <c r="B194" s="82"/>
      <c r="C194" s="83"/>
      <c r="D194" s="84"/>
      <c r="E194" s="84"/>
      <c r="F194" s="84"/>
      <c r="G194" s="84"/>
      <c r="H194" s="84"/>
      <c r="I194" s="84"/>
      <c r="J194" s="84"/>
      <c r="K194" s="84"/>
    </row>
    <row r="195" spans="1:11" ht="15.75" x14ac:dyDescent="0.25">
      <c r="A195" s="81"/>
      <c r="B195" s="82"/>
      <c r="C195" s="83"/>
      <c r="D195" s="84"/>
      <c r="E195" s="84"/>
      <c r="F195" s="84"/>
      <c r="G195" s="84"/>
      <c r="H195" s="84"/>
      <c r="I195" s="84"/>
      <c r="J195" s="84"/>
      <c r="K195" s="84"/>
    </row>
    <row r="196" spans="1:11" ht="15.75" x14ac:dyDescent="0.25">
      <c r="A196" s="81"/>
      <c r="B196" s="82"/>
      <c r="C196" s="83"/>
      <c r="D196" s="84"/>
      <c r="E196" s="84"/>
      <c r="F196" s="84"/>
      <c r="G196" s="84"/>
      <c r="H196" s="84"/>
      <c r="I196" s="84"/>
      <c r="J196" s="84"/>
      <c r="K196" s="84"/>
    </row>
    <row r="197" spans="1:11" ht="15.75" x14ac:dyDescent="0.25">
      <c r="A197" s="81"/>
      <c r="B197" s="82"/>
      <c r="C197" s="83"/>
      <c r="D197" s="84"/>
      <c r="E197" s="84"/>
      <c r="F197" s="84"/>
      <c r="G197" s="84"/>
      <c r="H197" s="84"/>
      <c r="I197" s="84"/>
      <c r="J197" s="84"/>
      <c r="K197" s="84"/>
    </row>
    <row r="198" spans="1:11" ht="15.75" x14ac:dyDescent="0.25">
      <c r="A198" s="81"/>
      <c r="B198" s="82"/>
      <c r="C198" s="83"/>
      <c r="D198" s="84"/>
      <c r="E198" s="84"/>
      <c r="F198" s="84"/>
      <c r="G198" s="84"/>
      <c r="H198" s="84"/>
      <c r="I198" s="84"/>
      <c r="J198" s="84"/>
      <c r="K198" s="84"/>
    </row>
  </sheetData>
  <mergeCells count="1">
    <mergeCell ref="A13:K1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28"/>
  <sheetViews>
    <sheetView showGridLines="0" showRowColHeaders="0" topLeftCell="A7" workbookViewId="0">
      <selection activeCell="A28" sqref="A28:F145"/>
    </sheetView>
  </sheetViews>
  <sheetFormatPr baseColWidth="10" defaultRowHeight="15" x14ac:dyDescent="0.25"/>
  <cols>
    <col min="1" max="1" width="15.42578125" style="37" customWidth="1"/>
    <col min="2" max="2" width="47.28515625" style="37" customWidth="1"/>
    <col min="3" max="3" width="33.7109375" style="37" customWidth="1"/>
    <col min="4" max="5" width="11.42578125" style="37"/>
    <col min="6" max="6" width="16.42578125" style="37" customWidth="1"/>
    <col min="7" max="16384" width="11.42578125" style="25"/>
  </cols>
  <sheetData>
    <row r="1" spans="1:4" s="25" customFormat="1" x14ac:dyDescent="0.25"/>
    <row r="2" spans="1:4" s="25" customFormat="1" x14ac:dyDescent="0.25"/>
    <row r="3" spans="1:4" s="25" customFormat="1" x14ac:dyDescent="0.25"/>
    <row r="4" spans="1:4" s="25" customFormat="1" x14ac:dyDescent="0.25"/>
    <row r="5" spans="1:4" s="25" customFormat="1" x14ac:dyDescent="0.25"/>
    <row r="6" spans="1:4" s="25" customFormat="1" x14ac:dyDescent="0.25"/>
    <row r="7" spans="1:4" s="25" customFormat="1" x14ac:dyDescent="0.25"/>
    <row r="8" spans="1:4" s="25" customFormat="1" x14ac:dyDescent="0.25"/>
    <row r="9" spans="1:4" s="25" customFormat="1" x14ac:dyDescent="0.25"/>
    <row r="10" spans="1:4" s="25" customFormat="1" x14ac:dyDescent="0.25"/>
    <row r="11" spans="1:4" s="25" customFormat="1" x14ac:dyDescent="0.25"/>
    <row r="12" spans="1:4" s="25" customFormat="1" x14ac:dyDescent="0.25"/>
    <row r="13" spans="1:4" s="25" customFormat="1" ht="15.75" x14ac:dyDescent="0.25">
      <c r="A13" s="3" t="s">
        <v>1</v>
      </c>
      <c r="B13" s="72" t="s">
        <v>183</v>
      </c>
      <c r="C13" s="72" t="s">
        <v>0</v>
      </c>
      <c r="D13" s="72" t="s">
        <v>182</v>
      </c>
    </row>
    <row r="14" spans="1:4" s="25" customFormat="1" ht="15.75" x14ac:dyDescent="0.25">
      <c r="A14" s="77"/>
      <c r="B14" s="94"/>
      <c r="C14" s="94"/>
      <c r="D14" s="94"/>
    </row>
    <row r="15" spans="1:4" s="25" customFormat="1" ht="15.75" x14ac:dyDescent="0.25">
      <c r="A15" s="7"/>
      <c r="B15" s="7"/>
      <c r="C15" s="7"/>
      <c r="D15" s="7"/>
    </row>
    <row r="16" spans="1:4" s="25" customFormat="1" ht="45" customHeight="1" x14ac:dyDescent="0.25">
      <c r="B16" s="251" t="s">
        <v>191</v>
      </c>
      <c r="C16" s="252"/>
    </row>
    <row r="17" spans="1:6" ht="15.75" x14ac:dyDescent="0.25">
      <c r="A17" s="25"/>
      <c r="B17" s="85" t="s">
        <v>914</v>
      </c>
      <c r="C17" s="86" t="s">
        <v>190</v>
      </c>
      <c r="D17" s="25"/>
      <c r="E17" s="25"/>
      <c r="F17" s="25"/>
    </row>
    <row r="18" spans="1:6" ht="15.75" x14ac:dyDescent="0.25">
      <c r="A18" s="25"/>
      <c r="B18" s="87" t="s">
        <v>189</v>
      </c>
      <c r="C18" s="88">
        <v>86</v>
      </c>
      <c r="D18" s="25"/>
      <c r="E18" s="25"/>
      <c r="F18" s="25"/>
    </row>
    <row r="19" spans="1:6" ht="15.75" x14ac:dyDescent="0.25">
      <c r="A19" s="25"/>
      <c r="B19" s="85" t="s">
        <v>188</v>
      </c>
      <c r="C19" s="88">
        <v>101</v>
      </c>
      <c r="D19" s="25"/>
      <c r="E19" s="89"/>
      <c r="F19" s="25"/>
    </row>
    <row r="20" spans="1:6" ht="15.75" x14ac:dyDescent="0.25">
      <c r="A20" s="25"/>
      <c r="B20" s="85" t="s">
        <v>187</v>
      </c>
      <c r="C20" s="88">
        <v>102</v>
      </c>
      <c r="D20" s="25"/>
      <c r="E20" s="90"/>
      <c r="F20" s="25"/>
    </row>
    <row r="21" spans="1:6" ht="15.75" x14ac:dyDescent="0.25">
      <c r="A21" s="25"/>
      <c r="B21" s="85" t="s">
        <v>187</v>
      </c>
      <c r="C21" s="88">
        <v>103</v>
      </c>
      <c r="D21" s="25"/>
      <c r="E21" s="25"/>
      <c r="F21" s="25"/>
    </row>
    <row r="22" spans="1:6" ht="15.75" x14ac:dyDescent="0.25">
      <c r="A22" s="25"/>
      <c r="B22" s="85" t="s">
        <v>186</v>
      </c>
      <c r="C22" s="88">
        <v>104</v>
      </c>
      <c r="D22" s="25"/>
      <c r="E22" s="25"/>
      <c r="F22" s="25"/>
    </row>
    <row r="23" spans="1:6" ht="15.75" x14ac:dyDescent="0.25">
      <c r="A23" s="25"/>
      <c r="B23" s="91" t="s">
        <v>185</v>
      </c>
      <c r="C23" s="92">
        <v>98</v>
      </c>
      <c r="D23" s="25"/>
      <c r="E23" s="25"/>
      <c r="F23" s="25"/>
    </row>
    <row r="24" spans="1:6" ht="15.75" customHeight="1" x14ac:dyDescent="0.25">
      <c r="A24" s="242" t="s">
        <v>184</v>
      </c>
      <c r="B24" s="243"/>
      <c r="C24" s="243"/>
      <c r="D24" s="243"/>
      <c r="E24" s="243"/>
      <c r="F24" s="244"/>
    </row>
    <row r="25" spans="1:6" ht="15.75" customHeight="1" x14ac:dyDescent="0.25">
      <c r="A25" s="245"/>
      <c r="B25" s="246"/>
      <c r="C25" s="246"/>
      <c r="D25" s="246"/>
      <c r="E25" s="246"/>
      <c r="F25" s="247"/>
    </row>
    <row r="26" spans="1:6" ht="15.75" customHeight="1" x14ac:dyDescent="0.25">
      <c r="A26" s="248"/>
      <c r="B26" s="249"/>
      <c r="C26" s="249"/>
      <c r="D26" s="249"/>
      <c r="E26" s="249"/>
      <c r="F26" s="250"/>
    </row>
    <row r="27" spans="1:6" ht="31.5" x14ac:dyDescent="0.25">
      <c r="A27" s="3" t="s">
        <v>1</v>
      </c>
      <c r="B27" s="72" t="s">
        <v>183</v>
      </c>
      <c r="C27" s="72" t="s">
        <v>0</v>
      </c>
      <c r="D27" s="72" t="s">
        <v>182</v>
      </c>
      <c r="E27" s="72" t="s">
        <v>181</v>
      </c>
      <c r="F27" s="72" t="s">
        <v>180</v>
      </c>
    </row>
    <row r="28" spans="1:6" x14ac:dyDescent="0.25">
      <c r="A28" s="95"/>
      <c r="E28" s="96"/>
    </row>
  </sheetData>
  <mergeCells count="2">
    <mergeCell ref="A24:F26"/>
    <mergeCell ref="B16:C1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198"/>
  <sheetViews>
    <sheetView showGridLines="0" showRowColHeaders="0" zoomScale="85" zoomScaleNormal="85" workbookViewId="0">
      <selection activeCell="A20" sqref="A20:G45"/>
    </sheetView>
  </sheetViews>
  <sheetFormatPr baseColWidth="10" defaultRowHeight="15" x14ac:dyDescent="0.25"/>
  <cols>
    <col min="1" max="1" width="18.140625" style="37" customWidth="1"/>
    <col min="2" max="2" width="28" style="37" customWidth="1"/>
    <col min="3" max="3" width="21.28515625" style="37" customWidth="1"/>
    <col min="4" max="4" width="25.140625" style="37" customWidth="1"/>
    <col min="5" max="5" width="15.140625" style="37" customWidth="1"/>
    <col min="6" max="6" width="16.140625" style="98" customWidth="1"/>
    <col min="7" max="7" width="54.28515625" style="37" customWidth="1"/>
    <col min="8" max="16384" width="11.42578125" style="25"/>
  </cols>
  <sheetData>
    <row r="1" spans="1:6" s="25" customFormat="1" x14ac:dyDescent="0.25">
      <c r="F1" s="97"/>
    </row>
    <row r="2" spans="1:6" s="25" customFormat="1" x14ac:dyDescent="0.25">
      <c r="F2" s="97"/>
    </row>
    <row r="3" spans="1:6" s="25" customFormat="1" x14ac:dyDescent="0.25">
      <c r="F3" s="97"/>
    </row>
    <row r="4" spans="1:6" s="25" customFormat="1" x14ac:dyDescent="0.25">
      <c r="F4" s="97"/>
    </row>
    <row r="5" spans="1:6" s="25" customFormat="1" x14ac:dyDescent="0.25">
      <c r="F5" s="97"/>
    </row>
    <row r="6" spans="1:6" s="25" customFormat="1" x14ac:dyDescent="0.25">
      <c r="F6" s="97"/>
    </row>
    <row r="7" spans="1:6" s="25" customFormat="1" ht="12.75" customHeight="1" x14ac:dyDescent="0.25">
      <c r="F7" s="97"/>
    </row>
    <row r="8" spans="1:6" s="25" customFormat="1" ht="50.25" customHeight="1" x14ac:dyDescent="0.25">
      <c r="A8" s="72" t="s">
        <v>1</v>
      </c>
      <c r="B8" s="72" t="s">
        <v>193</v>
      </c>
      <c r="C8" s="72" t="s">
        <v>0</v>
      </c>
      <c r="D8" s="72" t="s">
        <v>192</v>
      </c>
      <c r="F8" s="97"/>
    </row>
    <row r="9" spans="1:6" s="25" customFormat="1" ht="30" customHeight="1" x14ac:dyDescent="0.25">
      <c r="A9" s="77"/>
      <c r="B9" s="94"/>
      <c r="C9" s="94"/>
      <c r="D9" s="94"/>
      <c r="F9" s="97"/>
    </row>
    <row r="10" spans="1:6" s="25" customFormat="1" x14ac:dyDescent="0.25">
      <c r="F10" s="97"/>
    </row>
    <row r="11" spans="1:6" s="25" customFormat="1" x14ac:dyDescent="0.25">
      <c r="F11" s="97"/>
    </row>
    <row r="12" spans="1:6" s="25" customFormat="1" x14ac:dyDescent="0.25">
      <c r="F12" s="97"/>
    </row>
    <row r="13" spans="1:6" s="25" customFormat="1" x14ac:dyDescent="0.25">
      <c r="F13" s="97"/>
    </row>
    <row r="14" spans="1:6" s="25" customFormat="1" x14ac:dyDescent="0.25">
      <c r="F14" s="97"/>
    </row>
    <row r="15" spans="1:6" s="25" customFormat="1" x14ac:dyDescent="0.25">
      <c r="F15" s="97"/>
    </row>
    <row r="16" spans="1:6" s="25" customFormat="1" x14ac:dyDescent="0.25">
      <c r="F16" s="97"/>
    </row>
    <row r="17" spans="1:7" ht="15" customHeight="1" x14ac:dyDescent="0.25">
      <c r="A17" s="253" t="s">
        <v>194</v>
      </c>
      <c r="B17" s="253"/>
      <c r="C17" s="253"/>
      <c r="D17" s="253"/>
      <c r="E17" s="253"/>
      <c r="F17" s="253"/>
      <c r="G17" s="253"/>
    </row>
    <row r="18" spans="1:7" ht="15" customHeight="1" x14ac:dyDescent="0.25">
      <c r="A18" s="253"/>
      <c r="B18" s="253"/>
      <c r="C18" s="253"/>
      <c r="D18" s="253"/>
      <c r="E18" s="253"/>
      <c r="F18" s="253"/>
      <c r="G18" s="253"/>
    </row>
    <row r="19" spans="1:7" ht="30" customHeight="1" x14ac:dyDescent="0.25">
      <c r="A19" s="72" t="s">
        <v>1</v>
      </c>
      <c r="B19" s="72" t="s">
        <v>193</v>
      </c>
      <c r="C19" s="72" t="s">
        <v>0</v>
      </c>
      <c r="D19" s="72" t="s">
        <v>192</v>
      </c>
      <c r="E19" s="72" t="s">
        <v>181</v>
      </c>
      <c r="F19" s="72" t="s">
        <v>180</v>
      </c>
      <c r="G19" s="72" t="s">
        <v>13</v>
      </c>
    </row>
    <row r="20" spans="1:7" ht="15.75" x14ac:dyDescent="0.25">
      <c r="A20" s="81"/>
      <c r="B20" s="84"/>
      <c r="C20" s="84"/>
      <c r="D20" s="84"/>
      <c r="E20" s="83"/>
      <c r="F20" s="83"/>
      <c r="G20" s="84"/>
    </row>
    <row r="21" spans="1:7" ht="15.75" x14ac:dyDescent="0.25">
      <c r="A21" s="81"/>
      <c r="B21" s="84"/>
      <c r="C21" s="84"/>
      <c r="D21" s="84"/>
      <c r="E21" s="83"/>
      <c r="F21" s="83"/>
      <c r="G21" s="84"/>
    </row>
    <row r="22" spans="1:7" ht="15.75" x14ac:dyDescent="0.25">
      <c r="A22" s="81"/>
      <c r="B22" s="84"/>
      <c r="C22" s="84"/>
      <c r="D22" s="84"/>
      <c r="E22" s="83"/>
      <c r="F22" s="83"/>
      <c r="G22" s="84"/>
    </row>
    <row r="23" spans="1:7" ht="15.75" x14ac:dyDescent="0.25">
      <c r="A23" s="81"/>
      <c r="B23" s="84"/>
      <c r="C23" s="84"/>
      <c r="D23" s="84"/>
      <c r="E23" s="83"/>
      <c r="F23" s="83"/>
      <c r="G23" s="84"/>
    </row>
    <row r="24" spans="1:7" ht="15.75" x14ac:dyDescent="0.25">
      <c r="A24" s="81"/>
      <c r="B24" s="84"/>
      <c r="C24" s="84"/>
      <c r="D24" s="84"/>
      <c r="E24" s="83"/>
      <c r="F24" s="83"/>
      <c r="G24" s="84"/>
    </row>
    <row r="25" spans="1:7" ht="15.75" x14ac:dyDescent="0.25">
      <c r="A25" s="81"/>
      <c r="B25" s="84"/>
      <c r="C25" s="84"/>
      <c r="D25" s="84"/>
      <c r="E25" s="83"/>
      <c r="F25" s="83"/>
      <c r="G25" s="84"/>
    </row>
    <row r="26" spans="1:7" ht="15.75" x14ac:dyDescent="0.25">
      <c r="A26" s="81"/>
      <c r="B26" s="84"/>
      <c r="C26" s="84"/>
      <c r="D26" s="84"/>
      <c r="E26" s="83"/>
      <c r="F26" s="83"/>
      <c r="G26" s="84"/>
    </row>
    <row r="27" spans="1:7" ht="15.75" x14ac:dyDescent="0.25">
      <c r="A27" s="81"/>
      <c r="B27" s="84"/>
      <c r="C27" s="84"/>
      <c r="D27" s="84"/>
      <c r="E27" s="83"/>
      <c r="F27" s="83"/>
      <c r="G27" s="84"/>
    </row>
    <row r="28" spans="1:7" ht="15.75" x14ac:dyDescent="0.25">
      <c r="A28" s="81"/>
      <c r="B28" s="84"/>
      <c r="C28" s="84"/>
      <c r="D28" s="84"/>
      <c r="E28" s="83"/>
      <c r="F28" s="83"/>
      <c r="G28" s="84"/>
    </row>
    <row r="29" spans="1:7" ht="15.75" x14ac:dyDescent="0.25">
      <c r="A29" s="81"/>
      <c r="B29" s="84"/>
      <c r="C29" s="84"/>
      <c r="D29" s="84"/>
      <c r="E29" s="83"/>
      <c r="F29" s="83"/>
      <c r="G29" s="84"/>
    </row>
    <row r="30" spans="1:7" ht="15.75" x14ac:dyDescent="0.25">
      <c r="A30" s="81"/>
      <c r="B30" s="84"/>
      <c r="C30" s="84"/>
      <c r="D30" s="84"/>
      <c r="E30" s="83"/>
      <c r="F30" s="83"/>
      <c r="G30" s="84"/>
    </row>
    <row r="31" spans="1:7" ht="15.75" x14ac:dyDescent="0.25">
      <c r="A31" s="81"/>
      <c r="B31" s="84"/>
      <c r="C31" s="84"/>
      <c r="D31" s="84"/>
      <c r="E31" s="83"/>
      <c r="F31" s="83"/>
      <c r="G31" s="84"/>
    </row>
    <row r="32" spans="1:7" ht="15.75" x14ac:dyDescent="0.25">
      <c r="A32" s="81"/>
      <c r="B32" s="84"/>
      <c r="C32" s="84"/>
      <c r="D32" s="84"/>
      <c r="E32" s="83"/>
      <c r="F32" s="83"/>
      <c r="G32" s="84"/>
    </row>
    <row r="33" spans="1:7" ht="15.75" x14ac:dyDescent="0.25">
      <c r="A33" s="81"/>
      <c r="B33" s="84"/>
      <c r="C33" s="84"/>
      <c r="D33" s="84"/>
      <c r="E33" s="83"/>
      <c r="F33" s="83"/>
      <c r="G33" s="84"/>
    </row>
    <row r="34" spans="1:7" ht="15.75" x14ac:dyDescent="0.25">
      <c r="A34" s="81"/>
      <c r="B34" s="84"/>
      <c r="C34" s="84"/>
      <c r="D34" s="84"/>
      <c r="E34" s="83"/>
      <c r="F34" s="83"/>
      <c r="G34" s="84"/>
    </row>
    <row r="35" spans="1:7" ht="15.75" x14ac:dyDescent="0.25">
      <c r="A35" s="81"/>
      <c r="B35" s="84"/>
      <c r="C35" s="84"/>
      <c r="D35" s="84"/>
      <c r="E35" s="83"/>
      <c r="F35" s="83"/>
      <c r="G35" s="84"/>
    </row>
    <row r="36" spans="1:7" ht="15.75" x14ac:dyDescent="0.25">
      <c r="A36" s="81"/>
      <c r="B36" s="84"/>
      <c r="C36" s="84"/>
      <c r="D36" s="84"/>
      <c r="E36" s="83"/>
      <c r="F36" s="83"/>
      <c r="G36" s="84"/>
    </row>
    <row r="37" spans="1:7" ht="15.75" x14ac:dyDescent="0.25">
      <c r="A37" s="81"/>
      <c r="B37" s="84"/>
      <c r="C37" s="84"/>
      <c r="D37" s="84"/>
      <c r="E37" s="83"/>
      <c r="F37" s="83"/>
      <c r="G37" s="84"/>
    </row>
    <row r="38" spans="1:7" ht="15.75" x14ac:dyDescent="0.25">
      <c r="A38" s="81"/>
      <c r="B38" s="84"/>
      <c r="C38" s="84"/>
      <c r="D38" s="84"/>
      <c r="E38" s="83"/>
      <c r="F38" s="83"/>
      <c r="G38" s="84"/>
    </row>
    <row r="39" spans="1:7" ht="15.75" x14ac:dyDescent="0.25">
      <c r="A39" s="81"/>
      <c r="B39" s="84"/>
      <c r="C39" s="84"/>
      <c r="D39" s="84"/>
      <c r="E39" s="83"/>
      <c r="F39" s="83"/>
      <c r="G39" s="84"/>
    </row>
    <row r="40" spans="1:7" ht="15.75" x14ac:dyDescent="0.25">
      <c r="A40" s="81"/>
      <c r="B40" s="84"/>
      <c r="C40" s="84"/>
      <c r="D40" s="84"/>
      <c r="E40" s="83"/>
      <c r="F40" s="83"/>
      <c r="G40" s="84"/>
    </row>
    <row r="41" spans="1:7" ht="15.75" x14ac:dyDescent="0.25">
      <c r="A41" s="81"/>
      <c r="B41" s="84"/>
      <c r="C41" s="84"/>
      <c r="D41" s="84"/>
      <c r="E41" s="83"/>
      <c r="F41" s="83"/>
      <c r="G41" s="84"/>
    </row>
    <row r="42" spans="1:7" ht="15.75" x14ac:dyDescent="0.25">
      <c r="A42" s="81"/>
      <c r="B42" s="84"/>
      <c r="C42" s="84"/>
      <c r="D42" s="84"/>
      <c r="E42" s="83"/>
      <c r="F42" s="83"/>
      <c r="G42" s="84"/>
    </row>
    <row r="43" spans="1:7" ht="15.75" x14ac:dyDescent="0.25">
      <c r="A43" s="81"/>
      <c r="B43" s="84"/>
      <c r="C43" s="84"/>
      <c r="D43" s="84"/>
      <c r="E43" s="83"/>
      <c r="F43" s="83"/>
      <c r="G43" s="84"/>
    </row>
    <row r="44" spans="1:7" ht="15.75" x14ac:dyDescent="0.25">
      <c r="A44" s="81"/>
      <c r="B44" s="84"/>
      <c r="C44" s="84"/>
      <c r="D44" s="84"/>
      <c r="E44" s="83"/>
      <c r="F44" s="83"/>
      <c r="G44" s="84"/>
    </row>
    <row r="45" spans="1:7" ht="15.75" x14ac:dyDescent="0.25">
      <c r="A45" s="81"/>
      <c r="B45" s="84"/>
      <c r="C45" s="84"/>
      <c r="D45" s="84"/>
      <c r="E45" s="83"/>
      <c r="F45" s="83"/>
      <c r="G45" s="84"/>
    </row>
    <row r="46" spans="1:7" ht="15.75" x14ac:dyDescent="0.25">
      <c r="A46" s="81"/>
      <c r="B46" s="84"/>
      <c r="C46" s="84"/>
      <c r="D46" s="84"/>
      <c r="E46" s="83"/>
      <c r="F46" s="83"/>
      <c r="G46" s="84"/>
    </row>
    <row r="47" spans="1:7" ht="15.75" x14ac:dyDescent="0.25">
      <c r="A47" s="81"/>
      <c r="B47" s="84"/>
      <c r="C47" s="84"/>
      <c r="D47" s="84"/>
      <c r="E47" s="83"/>
      <c r="F47" s="83"/>
      <c r="G47" s="84"/>
    </row>
    <row r="48" spans="1:7" ht="15.75" x14ac:dyDescent="0.25">
      <c r="A48" s="81"/>
      <c r="B48" s="84"/>
      <c r="C48" s="84"/>
      <c r="D48" s="84"/>
      <c r="E48" s="83"/>
      <c r="F48" s="83"/>
      <c r="G48" s="84"/>
    </row>
    <row r="49" spans="1:7" ht="15.75" x14ac:dyDescent="0.25">
      <c r="A49" s="81"/>
      <c r="B49" s="84"/>
      <c r="C49" s="84"/>
      <c r="D49" s="84"/>
      <c r="E49" s="83"/>
      <c r="F49" s="83"/>
      <c r="G49" s="84"/>
    </row>
    <row r="50" spans="1:7" ht="15.75" x14ac:dyDescent="0.25">
      <c r="A50" s="81"/>
      <c r="B50" s="84"/>
      <c r="C50" s="84"/>
      <c r="D50" s="84"/>
      <c r="E50" s="83"/>
      <c r="F50" s="83"/>
      <c r="G50" s="84"/>
    </row>
    <row r="51" spans="1:7" ht="15.75" x14ac:dyDescent="0.25">
      <c r="A51" s="81"/>
      <c r="B51" s="84"/>
      <c r="C51" s="84"/>
      <c r="D51" s="84"/>
      <c r="E51" s="83"/>
      <c r="F51" s="83"/>
      <c r="G51" s="84"/>
    </row>
    <row r="52" spans="1:7" ht="15.75" x14ac:dyDescent="0.25">
      <c r="A52" s="81"/>
      <c r="B52" s="84"/>
      <c r="C52" s="84"/>
      <c r="D52" s="84"/>
      <c r="E52" s="83"/>
      <c r="F52" s="83"/>
      <c r="G52" s="84"/>
    </row>
    <row r="53" spans="1:7" ht="15.75" x14ac:dyDescent="0.25">
      <c r="A53" s="81"/>
      <c r="B53" s="84"/>
      <c r="C53" s="84"/>
      <c r="D53" s="84"/>
      <c r="E53" s="83"/>
      <c r="F53" s="83"/>
      <c r="G53" s="84"/>
    </row>
    <row r="54" spans="1:7" ht="15.75" x14ac:dyDescent="0.25">
      <c r="A54" s="81"/>
      <c r="B54" s="84"/>
      <c r="C54" s="84"/>
      <c r="D54" s="84"/>
      <c r="E54" s="83"/>
      <c r="F54" s="83"/>
      <c r="G54" s="84"/>
    </row>
    <row r="55" spans="1:7" ht="15.75" x14ac:dyDescent="0.25">
      <c r="A55" s="81"/>
      <c r="B55" s="84"/>
      <c r="C55" s="84"/>
      <c r="D55" s="84"/>
      <c r="E55" s="83"/>
      <c r="F55" s="83"/>
      <c r="G55" s="84"/>
    </row>
    <row r="56" spans="1:7" ht="15.75" x14ac:dyDescent="0.25">
      <c r="A56" s="81"/>
      <c r="B56" s="84"/>
      <c r="C56" s="84"/>
      <c r="D56" s="84"/>
      <c r="E56" s="83"/>
      <c r="F56" s="83"/>
      <c r="G56" s="84"/>
    </row>
    <row r="57" spans="1:7" ht="15.75" x14ac:dyDescent="0.25">
      <c r="A57" s="81"/>
      <c r="B57" s="84"/>
      <c r="C57" s="84"/>
      <c r="D57" s="84"/>
      <c r="E57" s="83"/>
      <c r="F57" s="83"/>
      <c r="G57" s="84"/>
    </row>
    <row r="58" spans="1:7" ht="15.75" x14ac:dyDescent="0.25">
      <c r="A58" s="81"/>
      <c r="B58" s="84"/>
      <c r="C58" s="84"/>
      <c r="D58" s="84"/>
      <c r="E58" s="83"/>
      <c r="F58" s="83"/>
      <c r="G58" s="84"/>
    </row>
    <row r="59" spans="1:7" ht="15.75" x14ac:dyDescent="0.25">
      <c r="A59" s="81"/>
      <c r="B59" s="84"/>
      <c r="C59" s="84"/>
      <c r="D59" s="84"/>
      <c r="E59" s="83"/>
      <c r="F59" s="83"/>
      <c r="G59" s="84"/>
    </row>
    <row r="60" spans="1:7" ht="15.75" x14ac:dyDescent="0.25">
      <c r="A60" s="81"/>
      <c r="B60" s="84"/>
      <c r="C60" s="84"/>
      <c r="D60" s="84"/>
      <c r="E60" s="83"/>
      <c r="F60" s="83"/>
      <c r="G60" s="84"/>
    </row>
    <row r="61" spans="1:7" ht="15.75" x14ac:dyDescent="0.25">
      <c r="A61" s="81"/>
      <c r="B61" s="84"/>
      <c r="C61" s="84"/>
      <c r="D61" s="84"/>
      <c r="E61" s="83"/>
      <c r="F61" s="83"/>
      <c r="G61" s="84"/>
    </row>
    <row r="62" spans="1:7" ht="15.75" x14ac:dyDescent="0.25">
      <c r="A62" s="81"/>
      <c r="B62" s="84"/>
      <c r="C62" s="84"/>
      <c r="D62" s="84"/>
      <c r="E62" s="83"/>
      <c r="F62" s="83"/>
      <c r="G62" s="84"/>
    </row>
    <row r="63" spans="1:7" ht="15.75" x14ac:dyDescent="0.25">
      <c r="A63" s="81"/>
      <c r="B63" s="84"/>
      <c r="C63" s="84"/>
      <c r="D63" s="84"/>
      <c r="E63" s="83"/>
      <c r="F63" s="83"/>
      <c r="G63" s="84"/>
    </row>
    <row r="64" spans="1:7" ht="15.75" x14ac:dyDescent="0.25">
      <c r="A64" s="81"/>
      <c r="B64" s="84"/>
      <c r="C64" s="84"/>
      <c r="D64" s="84"/>
      <c r="E64" s="83"/>
      <c r="F64" s="83"/>
      <c r="G64" s="84"/>
    </row>
    <row r="65" spans="1:7" ht="15.75" x14ac:dyDescent="0.25">
      <c r="A65" s="81"/>
      <c r="B65" s="84"/>
      <c r="C65" s="84"/>
      <c r="D65" s="84"/>
      <c r="E65" s="83"/>
      <c r="F65" s="83"/>
      <c r="G65" s="84"/>
    </row>
    <row r="66" spans="1:7" ht="15.75" x14ac:dyDescent="0.25">
      <c r="A66" s="81"/>
      <c r="B66" s="84"/>
      <c r="C66" s="84"/>
      <c r="D66" s="84"/>
      <c r="E66" s="83"/>
      <c r="F66" s="83"/>
      <c r="G66" s="84"/>
    </row>
    <row r="67" spans="1:7" ht="15.75" x14ac:dyDescent="0.25">
      <c r="A67" s="81"/>
      <c r="B67" s="84"/>
      <c r="C67" s="84"/>
      <c r="D67" s="84"/>
      <c r="E67" s="83"/>
      <c r="F67" s="83"/>
      <c r="G67" s="84"/>
    </row>
    <row r="68" spans="1:7" ht="15.75" x14ac:dyDescent="0.25">
      <c r="A68" s="81"/>
      <c r="B68" s="84"/>
      <c r="C68" s="84"/>
      <c r="D68" s="84"/>
      <c r="E68" s="83"/>
      <c r="F68" s="83"/>
      <c r="G68" s="84"/>
    </row>
    <row r="69" spans="1:7" ht="15.75" x14ac:dyDescent="0.25">
      <c r="A69" s="81"/>
      <c r="B69" s="84"/>
      <c r="C69" s="84"/>
      <c r="D69" s="84"/>
      <c r="E69" s="83"/>
      <c r="F69" s="83"/>
      <c r="G69" s="84"/>
    </row>
    <row r="70" spans="1:7" ht="15.75" x14ac:dyDescent="0.25">
      <c r="A70" s="81"/>
      <c r="B70" s="84"/>
      <c r="C70" s="84"/>
      <c r="D70" s="84"/>
      <c r="E70" s="83"/>
      <c r="F70" s="83"/>
      <c r="G70" s="84"/>
    </row>
    <row r="71" spans="1:7" ht="15.75" x14ac:dyDescent="0.25">
      <c r="A71" s="81"/>
      <c r="B71" s="84"/>
      <c r="C71" s="84"/>
      <c r="D71" s="84"/>
      <c r="E71" s="83"/>
      <c r="F71" s="83"/>
      <c r="G71" s="84"/>
    </row>
    <row r="72" spans="1:7" ht="15.75" x14ac:dyDescent="0.25">
      <c r="A72" s="81"/>
      <c r="B72" s="84"/>
      <c r="C72" s="84"/>
      <c r="D72" s="84"/>
      <c r="E72" s="83"/>
      <c r="F72" s="83"/>
      <c r="G72" s="84"/>
    </row>
    <row r="73" spans="1:7" ht="15.75" x14ac:dyDescent="0.25">
      <c r="A73" s="81"/>
      <c r="B73" s="84"/>
      <c r="C73" s="84"/>
      <c r="D73" s="84"/>
      <c r="E73" s="83"/>
      <c r="F73" s="83"/>
      <c r="G73" s="84"/>
    </row>
    <row r="74" spans="1:7" ht="15.75" x14ac:dyDescent="0.25">
      <c r="A74" s="81"/>
      <c r="B74" s="84"/>
      <c r="C74" s="84"/>
      <c r="D74" s="84"/>
      <c r="E74" s="83"/>
      <c r="F74" s="83"/>
      <c r="G74" s="84"/>
    </row>
    <row r="75" spans="1:7" ht="15.75" x14ac:dyDescent="0.25">
      <c r="A75" s="81"/>
      <c r="B75" s="84"/>
      <c r="C75" s="84"/>
      <c r="D75" s="84"/>
      <c r="E75" s="83"/>
      <c r="F75" s="83"/>
      <c r="G75" s="84"/>
    </row>
    <row r="76" spans="1:7" ht="15.75" x14ac:dyDescent="0.25">
      <c r="A76" s="81"/>
      <c r="B76" s="84"/>
      <c r="C76" s="84"/>
      <c r="D76" s="84"/>
      <c r="E76" s="83"/>
      <c r="F76" s="83"/>
      <c r="G76" s="84"/>
    </row>
    <row r="77" spans="1:7" ht="15.75" x14ac:dyDescent="0.25">
      <c r="A77" s="81"/>
      <c r="B77" s="84"/>
      <c r="C77" s="84"/>
      <c r="D77" s="84"/>
      <c r="E77" s="83"/>
      <c r="F77" s="83"/>
      <c r="G77" s="84"/>
    </row>
    <row r="78" spans="1:7" ht="15.75" x14ac:dyDescent="0.25">
      <c r="A78" s="81"/>
      <c r="B78" s="84"/>
      <c r="C78" s="84"/>
      <c r="D78" s="84"/>
      <c r="E78" s="83"/>
      <c r="F78" s="83"/>
      <c r="G78" s="84"/>
    </row>
    <row r="79" spans="1:7" ht="15.75" x14ac:dyDescent="0.25">
      <c r="A79" s="81"/>
      <c r="B79" s="84"/>
      <c r="C79" s="84"/>
      <c r="D79" s="84"/>
      <c r="E79" s="83"/>
      <c r="F79" s="83"/>
      <c r="G79" s="84"/>
    </row>
    <row r="80" spans="1:7" ht="15.75" x14ac:dyDescent="0.25">
      <c r="A80" s="81"/>
      <c r="B80" s="84"/>
      <c r="C80" s="84"/>
      <c r="D80" s="84"/>
      <c r="E80" s="83"/>
      <c r="F80" s="83"/>
      <c r="G80" s="84"/>
    </row>
    <row r="81" spans="1:7" ht="15.75" x14ac:dyDescent="0.25">
      <c r="A81" s="81"/>
      <c r="B81" s="84"/>
      <c r="C81" s="84"/>
      <c r="D81" s="84"/>
      <c r="E81" s="83"/>
      <c r="F81" s="83"/>
      <c r="G81" s="84"/>
    </row>
    <row r="82" spans="1:7" ht="15.75" x14ac:dyDescent="0.25">
      <c r="A82" s="81"/>
      <c r="B82" s="84"/>
      <c r="C82" s="84"/>
      <c r="D82" s="84"/>
      <c r="E82" s="83"/>
      <c r="F82" s="83"/>
      <c r="G82" s="84"/>
    </row>
    <row r="83" spans="1:7" ht="15.75" x14ac:dyDescent="0.25">
      <c r="A83" s="81"/>
      <c r="B83" s="84"/>
      <c r="C83" s="84"/>
      <c r="D83" s="84"/>
      <c r="E83" s="83"/>
      <c r="F83" s="83"/>
      <c r="G83" s="84"/>
    </row>
    <row r="84" spans="1:7" ht="15.75" x14ac:dyDescent="0.25">
      <c r="A84" s="81"/>
      <c r="B84" s="84"/>
      <c r="C84" s="84"/>
      <c r="D84" s="84"/>
      <c r="E84" s="83"/>
      <c r="F84" s="83"/>
      <c r="G84" s="84"/>
    </row>
    <row r="85" spans="1:7" ht="15.75" x14ac:dyDescent="0.25">
      <c r="A85" s="81"/>
      <c r="B85" s="84"/>
      <c r="C85" s="84"/>
      <c r="D85" s="84"/>
      <c r="E85" s="83"/>
      <c r="F85" s="83"/>
      <c r="G85" s="84"/>
    </row>
    <row r="86" spans="1:7" ht="15.75" x14ac:dyDescent="0.25">
      <c r="A86" s="81"/>
      <c r="B86" s="84"/>
      <c r="C86" s="84"/>
      <c r="D86" s="84"/>
      <c r="E86" s="83"/>
      <c r="F86" s="83"/>
      <c r="G86" s="84"/>
    </row>
    <row r="87" spans="1:7" ht="15.75" x14ac:dyDescent="0.25">
      <c r="A87" s="81"/>
      <c r="B87" s="84"/>
      <c r="C87" s="84"/>
      <c r="D87" s="84"/>
      <c r="E87" s="83"/>
      <c r="F87" s="83"/>
      <c r="G87" s="84"/>
    </row>
    <row r="88" spans="1:7" ht="15.75" x14ac:dyDescent="0.25">
      <c r="A88" s="81"/>
      <c r="B88" s="84"/>
      <c r="C88" s="84"/>
      <c r="D88" s="84"/>
      <c r="E88" s="83"/>
      <c r="F88" s="83"/>
      <c r="G88" s="84"/>
    </row>
    <row r="89" spans="1:7" ht="15.75" x14ac:dyDescent="0.25">
      <c r="A89" s="81"/>
      <c r="B89" s="84"/>
      <c r="C89" s="84"/>
      <c r="D89" s="84"/>
      <c r="E89" s="83"/>
      <c r="F89" s="83"/>
      <c r="G89" s="84"/>
    </row>
    <row r="90" spans="1:7" ht="15.75" x14ac:dyDescent="0.25">
      <c r="A90" s="81"/>
      <c r="B90" s="84"/>
      <c r="C90" s="84"/>
      <c r="D90" s="84"/>
      <c r="E90" s="83"/>
      <c r="F90" s="83"/>
      <c r="G90" s="84"/>
    </row>
    <row r="91" spans="1:7" ht="15.75" x14ac:dyDescent="0.25">
      <c r="A91" s="81"/>
      <c r="B91" s="84"/>
      <c r="C91" s="84"/>
      <c r="D91" s="84"/>
      <c r="E91" s="83"/>
      <c r="F91" s="83"/>
      <c r="G91" s="84"/>
    </row>
    <row r="92" spans="1:7" ht="15.75" x14ac:dyDescent="0.25">
      <c r="A92" s="81"/>
      <c r="B92" s="84"/>
      <c r="C92" s="84"/>
      <c r="D92" s="84"/>
      <c r="E92" s="83"/>
      <c r="F92" s="83"/>
      <c r="G92" s="84"/>
    </row>
    <row r="93" spans="1:7" ht="15.75" x14ac:dyDescent="0.25">
      <c r="A93" s="81"/>
      <c r="B93" s="84"/>
      <c r="C93" s="84"/>
      <c r="D93" s="84"/>
      <c r="E93" s="83"/>
      <c r="F93" s="83"/>
      <c r="G93" s="84"/>
    </row>
    <row r="94" spans="1:7" ht="15.75" x14ac:dyDescent="0.25">
      <c r="A94" s="81"/>
      <c r="B94" s="84"/>
      <c r="C94" s="84"/>
      <c r="D94" s="84"/>
      <c r="E94" s="83"/>
      <c r="F94" s="83"/>
      <c r="G94" s="84"/>
    </row>
    <row r="95" spans="1:7" ht="15.75" x14ac:dyDescent="0.25">
      <c r="A95" s="81"/>
      <c r="B95" s="84"/>
      <c r="C95" s="84"/>
      <c r="D95" s="84"/>
      <c r="E95" s="83"/>
      <c r="F95" s="83"/>
      <c r="G95" s="84"/>
    </row>
    <row r="96" spans="1:7" ht="15.75" x14ac:dyDescent="0.25">
      <c r="A96" s="81"/>
      <c r="B96" s="84"/>
      <c r="C96" s="84"/>
      <c r="D96" s="84"/>
      <c r="E96" s="83"/>
      <c r="F96" s="83"/>
      <c r="G96" s="84"/>
    </row>
    <row r="97" spans="1:7" ht="15.75" x14ac:dyDescent="0.25">
      <c r="A97" s="81"/>
      <c r="B97" s="84"/>
      <c r="C97" s="84"/>
      <c r="D97" s="84"/>
      <c r="E97" s="83"/>
      <c r="F97" s="83"/>
      <c r="G97" s="84"/>
    </row>
    <row r="98" spans="1:7" ht="15.75" x14ac:dyDescent="0.25">
      <c r="A98" s="81"/>
      <c r="B98" s="84"/>
      <c r="C98" s="84"/>
      <c r="D98" s="84"/>
      <c r="E98" s="83"/>
      <c r="F98" s="83"/>
      <c r="G98" s="84"/>
    </row>
    <row r="99" spans="1:7" ht="15.75" x14ac:dyDescent="0.25">
      <c r="A99" s="81"/>
      <c r="B99" s="84"/>
      <c r="C99" s="84"/>
      <c r="D99" s="84"/>
      <c r="E99" s="83"/>
      <c r="F99" s="83"/>
      <c r="G99" s="84"/>
    </row>
    <row r="100" spans="1:7" ht="15.75" x14ac:dyDescent="0.25">
      <c r="A100" s="81"/>
      <c r="B100" s="84"/>
      <c r="C100" s="84"/>
      <c r="D100" s="84"/>
      <c r="E100" s="83"/>
      <c r="F100" s="83"/>
      <c r="G100" s="84"/>
    </row>
    <row r="101" spans="1:7" ht="15.75" x14ac:dyDescent="0.25">
      <c r="A101" s="81"/>
      <c r="B101" s="84"/>
      <c r="C101" s="84"/>
      <c r="D101" s="84"/>
      <c r="E101" s="83"/>
      <c r="F101" s="83"/>
      <c r="G101" s="84"/>
    </row>
    <row r="102" spans="1:7" ht="15.75" x14ac:dyDescent="0.25">
      <c r="A102" s="81"/>
      <c r="B102" s="84"/>
      <c r="C102" s="84"/>
      <c r="D102" s="84"/>
      <c r="E102" s="83"/>
      <c r="F102" s="83"/>
      <c r="G102" s="84"/>
    </row>
    <row r="103" spans="1:7" ht="15.75" x14ac:dyDescent="0.25">
      <c r="A103" s="81"/>
      <c r="B103" s="84"/>
      <c r="C103" s="84"/>
      <c r="D103" s="84"/>
      <c r="E103" s="83"/>
      <c r="F103" s="83"/>
      <c r="G103" s="84"/>
    </row>
    <row r="104" spans="1:7" ht="15.75" x14ac:dyDescent="0.25">
      <c r="A104" s="81"/>
      <c r="B104" s="84"/>
      <c r="C104" s="84"/>
      <c r="D104" s="84"/>
      <c r="E104" s="83"/>
      <c r="F104" s="83"/>
      <c r="G104" s="84"/>
    </row>
    <row r="105" spans="1:7" ht="15.75" x14ac:dyDescent="0.25">
      <c r="A105" s="81"/>
      <c r="B105" s="84"/>
      <c r="C105" s="84"/>
      <c r="D105" s="84"/>
      <c r="E105" s="83"/>
      <c r="F105" s="83"/>
      <c r="G105" s="84"/>
    </row>
    <row r="106" spans="1:7" ht="15.75" x14ac:dyDescent="0.25">
      <c r="A106" s="81"/>
      <c r="B106" s="84"/>
      <c r="C106" s="84"/>
      <c r="D106" s="84"/>
      <c r="E106" s="83"/>
      <c r="F106" s="83"/>
      <c r="G106" s="84"/>
    </row>
    <row r="107" spans="1:7" ht="15.75" x14ac:dyDescent="0.25">
      <c r="A107" s="81"/>
      <c r="B107" s="84"/>
      <c r="C107" s="84"/>
      <c r="D107" s="84"/>
      <c r="E107" s="83"/>
      <c r="F107" s="83"/>
      <c r="G107" s="84"/>
    </row>
    <row r="108" spans="1:7" ht="15.75" x14ac:dyDescent="0.25">
      <c r="A108" s="81"/>
      <c r="B108" s="84"/>
      <c r="C108" s="84"/>
      <c r="D108" s="84"/>
      <c r="E108" s="83"/>
      <c r="F108" s="83"/>
      <c r="G108" s="84"/>
    </row>
    <row r="109" spans="1:7" ht="15.75" x14ac:dyDescent="0.25">
      <c r="A109" s="81"/>
      <c r="B109" s="84"/>
      <c r="C109" s="84"/>
      <c r="D109" s="84"/>
      <c r="E109" s="83"/>
      <c r="F109" s="83"/>
      <c r="G109" s="84"/>
    </row>
    <row r="110" spans="1:7" ht="15.75" x14ac:dyDescent="0.25">
      <c r="A110" s="81"/>
      <c r="B110" s="84"/>
      <c r="C110" s="84"/>
      <c r="D110" s="84"/>
      <c r="E110" s="83"/>
      <c r="F110" s="83"/>
      <c r="G110" s="84"/>
    </row>
    <row r="111" spans="1:7" ht="15.75" x14ac:dyDescent="0.25">
      <c r="A111" s="81"/>
      <c r="B111" s="84"/>
      <c r="C111" s="84"/>
      <c r="D111" s="84"/>
      <c r="E111" s="83"/>
      <c r="F111" s="83"/>
      <c r="G111" s="84"/>
    </row>
    <row r="112" spans="1:7" ht="15.75" x14ac:dyDescent="0.25">
      <c r="A112" s="81"/>
      <c r="B112" s="84"/>
      <c r="C112" s="84"/>
      <c r="D112" s="84"/>
      <c r="E112" s="83"/>
      <c r="F112" s="83"/>
      <c r="G112" s="84"/>
    </row>
    <row r="113" spans="1:7" ht="15.75" x14ac:dyDescent="0.25">
      <c r="A113" s="81"/>
      <c r="B113" s="84"/>
      <c r="C113" s="84"/>
      <c r="D113" s="84"/>
      <c r="E113" s="83"/>
      <c r="F113" s="83"/>
      <c r="G113" s="84"/>
    </row>
    <row r="114" spans="1:7" ht="15.75" x14ac:dyDescent="0.25">
      <c r="A114" s="81"/>
      <c r="B114" s="84"/>
      <c r="C114" s="84"/>
      <c r="D114" s="84"/>
      <c r="E114" s="83"/>
      <c r="F114" s="83"/>
      <c r="G114" s="84"/>
    </row>
    <row r="115" spans="1:7" ht="15.75" x14ac:dyDescent="0.25">
      <c r="A115" s="81"/>
      <c r="B115" s="84"/>
      <c r="C115" s="84"/>
      <c r="D115" s="84"/>
      <c r="E115" s="83"/>
      <c r="F115" s="83"/>
      <c r="G115" s="84"/>
    </row>
    <row r="116" spans="1:7" ht="15.75" x14ac:dyDescent="0.25">
      <c r="A116" s="81"/>
      <c r="B116" s="84"/>
      <c r="C116" s="84"/>
      <c r="D116" s="84"/>
      <c r="E116" s="83"/>
      <c r="F116" s="83"/>
      <c r="G116" s="84"/>
    </row>
    <row r="117" spans="1:7" ht="15.75" x14ac:dyDescent="0.25">
      <c r="A117" s="81"/>
      <c r="B117" s="84"/>
      <c r="C117" s="84"/>
      <c r="D117" s="84"/>
      <c r="E117" s="83"/>
      <c r="F117" s="83"/>
      <c r="G117" s="84"/>
    </row>
    <row r="118" spans="1:7" ht="15.75" x14ac:dyDescent="0.25">
      <c r="A118" s="81"/>
      <c r="B118" s="84"/>
      <c r="C118" s="84"/>
      <c r="D118" s="84"/>
      <c r="E118" s="83"/>
      <c r="F118" s="83"/>
      <c r="G118" s="84"/>
    </row>
    <row r="119" spans="1:7" ht="15.75" x14ac:dyDescent="0.25">
      <c r="A119" s="81"/>
      <c r="B119" s="84"/>
      <c r="C119" s="84"/>
      <c r="D119" s="84"/>
      <c r="E119" s="83"/>
      <c r="F119" s="83"/>
      <c r="G119" s="84"/>
    </row>
    <row r="120" spans="1:7" ht="15.75" x14ac:dyDescent="0.25">
      <c r="A120" s="81"/>
      <c r="B120" s="84"/>
      <c r="C120" s="84"/>
      <c r="D120" s="84"/>
      <c r="E120" s="83"/>
      <c r="F120" s="83"/>
      <c r="G120" s="84"/>
    </row>
    <row r="121" spans="1:7" ht="15.75" x14ac:dyDescent="0.25">
      <c r="A121" s="81"/>
      <c r="B121" s="84"/>
      <c r="C121" s="84"/>
      <c r="D121" s="84"/>
      <c r="E121" s="83"/>
      <c r="F121" s="83"/>
      <c r="G121" s="84"/>
    </row>
    <row r="122" spans="1:7" ht="15.75" x14ac:dyDescent="0.25">
      <c r="A122" s="81"/>
      <c r="B122" s="84"/>
      <c r="C122" s="84"/>
      <c r="D122" s="84"/>
      <c r="E122" s="83"/>
      <c r="F122" s="83"/>
      <c r="G122" s="84"/>
    </row>
    <row r="123" spans="1:7" ht="15.75" x14ac:dyDescent="0.25">
      <c r="A123" s="81"/>
      <c r="B123" s="84"/>
      <c r="C123" s="84"/>
      <c r="D123" s="84"/>
      <c r="E123" s="83"/>
      <c r="F123" s="83"/>
      <c r="G123" s="84"/>
    </row>
    <row r="124" spans="1:7" ht="15.75" x14ac:dyDescent="0.25">
      <c r="A124" s="81"/>
      <c r="B124" s="84"/>
      <c r="C124" s="84"/>
      <c r="D124" s="84"/>
      <c r="E124" s="83"/>
      <c r="F124" s="83"/>
      <c r="G124" s="84"/>
    </row>
    <row r="125" spans="1:7" ht="15.75" x14ac:dyDescent="0.25">
      <c r="A125" s="81"/>
      <c r="B125" s="84"/>
      <c r="C125" s="84"/>
      <c r="D125" s="84"/>
      <c r="E125" s="83"/>
      <c r="F125" s="83"/>
      <c r="G125" s="84"/>
    </row>
    <row r="126" spans="1:7" ht="15.75" x14ac:dyDescent="0.25">
      <c r="A126" s="81"/>
      <c r="B126" s="84"/>
      <c r="C126" s="84"/>
      <c r="D126" s="84"/>
      <c r="E126" s="83"/>
      <c r="F126" s="83"/>
      <c r="G126" s="84"/>
    </row>
    <row r="127" spans="1:7" ht="15.75" x14ac:dyDescent="0.25">
      <c r="A127" s="81"/>
      <c r="B127" s="84"/>
      <c r="C127" s="84"/>
      <c r="D127" s="84"/>
      <c r="E127" s="83"/>
      <c r="F127" s="83"/>
      <c r="G127" s="84"/>
    </row>
    <row r="128" spans="1:7" ht="15.75" x14ac:dyDescent="0.25">
      <c r="A128" s="81"/>
      <c r="B128" s="84"/>
      <c r="C128" s="84"/>
      <c r="D128" s="84"/>
      <c r="E128" s="83"/>
      <c r="F128" s="83"/>
      <c r="G128" s="84"/>
    </row>
    <row r="129" spans="1:7" ht="15.75" x14ac:dyDescent="0.25">
      <c r="A129" s="81"/>
      <c r="B129" s="84"/>
      <c r="C129" s="84"/>
      <c r="D129" s="84"/>
      <c r="E129" s="83"/>
      <c r="F129" s="83"/>
      <c r="G129" s="84"/>
    </row>
    <row r="130" spans="1:7" ht="15.75" x14ac:dyDescent="0.25">
      <c r="A130" s="81"/>
      <c r="B130" s="84"/>
      <c r="C130" s="84"/>
      <c r="D130" s="84"/>
      <c r="E130" s="83"/>
      <c r="F130" s="83"/>
      <c r="G130" s="84"/>
    </row>
    <row r="131" spans="1:7" ht="15.75" x14ac:dyDescent="0.25">
      <c r="A131" s="81"/>
      <c r="B131" s="84"/>
      <c r="C131" s="84"/>
      <c r="D131" s="84"/>
      <c r="E131" s="83"/>
      <c r="F131" s="83"/>
      <c r="G131" s="84"/>
    </row>
    <row r="132" spans="1:7" ht="15.75" x14ac:dyDescent="0.25">
      <c r="A132" s="81"/>
      <c r="B132" s="84"/>
      <c r="C132" s="84"/>
      <c r="D132" s="84"/>
      <c r="E132" s="83"/>
      <c r="F132" s="83"/>
      <c r="G132" s="84"/>
    </row>
    <row r="133" spans="1:7" ht="15.75" x14ac:dyDescent="0.25">
      <c r="A133" s="81"/>
      <c r="B133" s="84"/>
      <c r="C133" s="84"/>
      <c r="D133" s="84"/>
      <c r="E133" s="83"/>
      <c r="F133" s="83"/>
      <c r="G133" s="84"/>
    </row>
    <row r="134" spans="1:7" ht="15.75" x14ac:dyDescent="0.25">
      <c r="A134" s="81"/>
      <c r="B134" s="84"/>
      <c r="C134" s="84"/>
      <c r="D134" s="84"/>
      <c r="E134" s="83"/>
      <c r="F134" s="83"/>
      <c r="G134" s="84"/>
    </row>
    <row r="135" spans="1:7" ht="15.75" x14ac:dyDescent="0.25">
      <c r="A135" s="81"/>
      <c r="B135" s="84"/>
      <c r="C135" s="84"/>
      <c r="D135" s="84"/>
      <c r="E135" s="83"/>
      <c r="F135" s="83"/>
      <c r="G135" s="84"/>
    </row>
    <row r="136" spans="1:7" ht="15.75" x14ac:dyDescent="0.25">
      <c r="A136" s="81"/>
      <c r="B136" s="84"/>
      <c r="C136" s="84"/>
      <c r="D136" s="84"/>
      <c r="E136" s="83"/>
      <c r="F136" s="83"/>
      <c r="G136" s="84"/>
    </row>
    <row r="137" spans="1:7" ht="15.75" x14ac:dyDescent="0.25">
      <c r="A137" s="81"/>
      <c r="B137" s="84"/>
      <c r="C137" s="84"/>
      <c r="D137" s="84"/>
      <c r="E137" s="83"/>
      <c r="F137" s="83"/>
      <c r="G137" s="84"/>
    </row>
    <row r="138" spans="1:7" ht="15.75" x14ac:dyDescent="0.25">
      <c r="A138" s="81"/>
      <c r="B138" s="84"/>
      <c r="C138" s="84"/>
      <c r="D138" s="84"/>
      <c r="E138" s="83"/>
      <c r="F138" s="83"/>
      <c r="G138" s="84"/>
    </row>
    <row r="139" spans="1:7" ht="15.75" x14ac:dyDescent="0.25">
      <c r="A139" s="81"/>
      <c r="B139" s="84"/>
      <c r="C139" s="84"/>
      <c r="D139" s="84"/>
      <c r="E139" s="83"/>
      <c r="F139" s="83"/>
      <c r="G139" s="84"/>
    </row>
    <row r="140" spans="1:7" ht="15.75" x14ac:dyDescent="0.25">
      <c r="A140" s="81"/>
      <c r="B140" s="84"/>
      <c r="C140" s="84"/>
      <c r="D140" s="84"/>
      <c r="E140" s="83"/>
      <c r="F140" s="83"/>
      <c r="G140" s="84"/>
    </row>
    <row r="141" spans="1:7" ht="15.75" x14ac:dyDescent="0.25">
      <c r="A141" s="81"/>
      <c r="B141" s="84"/>
      <c r="C141" s="84"/>
      <c r="D141" s="84"/>
      <c r="E141" s="83"/>
      <c r="F141" s="83"/>
      <c r="G141" s="84"/>
    </row>
    <row r="142" spans="1:7" ht="15.75" x14ac:dyDescent="0.25">
      <c r="A142" s="81"/>
      <c r="B142" s="84"/>
      <c r="C142" s="84"/>
      <c r="D142" s="84"/>
      <c r="E142" s="83"/>
      <c r="F142" s="83"/>
      <c r="G142" s="84"/>
    </row>
    <row r="143" spans="1:7" ht="15.75" x14ac:dyDescent="0.25">
      <c r="A143" s="81"/>
      <c r="B143" s="84"/>
      <c r="C143" s="84"/>
      <c r="D143" s="84"/>
      <c r="E143" s="83"/>
      <c r="F143" s="83"/>
      <c r="G143" s="84"/>
    </row>
    <row r="144" spans="1:7" ht="15.75" x14ac:dyDescent="0.25">
      <c r="A144" s="81"/>
      <c r="B144" s="84"/>
      <c r="C144" s="84"/>
      <c r="D144" s="84"/>
      <c r="E144" s="83"/>
      <c r="F144" s="83"/>
      <c r="G144" s="84"/>
    </row>
    <row r="145" spans="1:7" ht="15.75" x14ac:dyDescent="0.25">
      <c r="A145" s="81"/>
      <c r="B145" s="84"/>
      <c r="C145" s="84"/>
      <c r="D145" s="84"/>
      <c r="E145" s="83"/>
      <c r="F145" s="83"/>
      <c r="G145" s="84"/>
    </row>
    <row r="146" spans="1:7" ht="15.75" x14ac:dyDescent="0.25">
      <c r="A146" s="81"/>
      <c r="B146" s="84"/>
      <c r="C146" s="84"/>
      <c r="D146" s="84"/>
      <c r="E146" s="83"/>
      <c r="F146" s="83"/>
      <c r="G146" s="84"/>
    </row>
    <row r="147" spans="1:7" ht="15.75" x14ac:dyDescent="0.25">
      <c r="A147" s="81"/>
      <c r="B147" s="84"/>
      <c r="C147" s="84"/>
      <c r="D147" s="84"/>
      <c r="E147" s="83"/>
      <c r="F147" s="83"/>
      <c r="G147" s="84"/>
    </row>
    <row r="148" spans="1:7" ht="15.75" x14ac:dyDescent="0.25">
      <c r="A148" s="81"/>
      <c r="B148" s="84"/>
      <c r="C148" s="84"/>
      <c r="D148" s="84"/>
      <c r="E148" s="83"/>
      <c r="F148" s="83"/>
      <c r="G148" s="84"/>
    </row>
    <row r="149" spans="1:7" ht="15.75" x14ac:dyDescent="0.25">
      <c r="A149" s="81"/>
      <c r="B149" s="84"/>
      <c r="C149" s="84"/>
      <c r="D149" s="84"/>
      <c r="E149" s="83"/>
      <c r="F149" s="83"/>
      <c r="G149" s="84"/>
    </row>
    <row r="150" spans="1:7" ht="15.75" x14ac:dyDescent="0.25">
      <c r="A150" s="81"/>
      <c r="B150" s="84"/>
      <c r="C150" s="84"/>
      <c r="D150" s="84"/>
      <c r="E150" s="83"/>
      <c r="F150" s="83"/>
      <c r="G150" s="84"/>
    </row>
    <row r="151" spans="1:7" ht="15.75" x14ac:dyDescent="0.25">
      <c r="A151" s="81"/>
      <c r="B151" s="84"/>
      <c r="C151" s="84"/>
      <c r="D151" s="84"/>
      <c r="E151" s="83"/>
      <c r="F151" s="83"/>
      <c r="G151" s="84"/>
    </row>
    <row r="152" spans="1:7" ht="15.75" x14ac:dyDescent="0.25">
      <c r="A152" s="81"/>
      <c r="B152" s="84"/>
      <c r="C152" s="84"/>
      <c r="D152" s="84"/>
      <c r="E152" s="83"/>
      <c r="F152" s="83"/>
      <c r="G152" s="84"/>
    </row>
    <row r="153" spans="1:7" ht="15.75" x14ac:dyDescent="0.25">
      <c r="A153" s="81"/>
      <c r="B153" s="84"/>
      <c r="C153" s="84"/>
      <c r="D153" s="84"/>
      <c r="E153" s="83"/>
      <c r="F153" s="83"/>
      <c r="G153" s="84"/>
    </row>
    <row r="154" spans="1:7" ht="15.75" x14ac:dyDescent="0.25">
      <c r="A154" s="81"/>
      <c r="B154" s="84"/>
      <c r="C154" s="84"/>
      <c r="D154" s="84"/>
      <c r="E154" s="83"/>
      <c r="F154" s="83"/>
      <c r="G154" s="84"/>
    </row>
    <row r="155" spans="1:7" ht="15.75" x14ac:dyDescent="0.25">
      <c r="A155" s="81"/>
      <c r="B155" s="84"/>
      <c r="C155" s="84"/>
      <c r="D155" s="84"/>
      <c r="E155" s="83"/>
      <c r="F155" s="83"/>
      <c r="G155" s="84"/>
    </row>
    <row r="156" spans="1:7" ht="15.75" x14ac:dyDescent="0.25">
      <c r="A156" s="81"/>
      <c r="B156" s="84"/>
      <c r="C156" s="84"/>
      <c r="D156" s="84"/>
      <c r="E156" s="83"/>
      <c r="F156" s="83"/>
      <c r="G156" s="84"/>
    </row>
    <row r="157" spans="1:7" ht="15.75" x14ac:dyDescent="0.25">
      <c r="A157" s="81"/>
      <c r="B157" s="84"/>
      <c r="C157" s="84"/>
      <c r="D157" s="84"/>
      <c r="E157" s="83"/>
      <c r="F157" s="83"/>
      <c r="G157" s="84"/>
    </row>
    <row r="158" spans="1:7" ht="15.75" x14ac:dyDescent="0.25">
      <c r="A158" s="81"/>
      <c r="B158" s="84"/>
      <c r="C158" s="84"/>
      <c r="D158" s="84"/>
      <c r="E158" s="83"/>
      <c r="F158" s="83"/>
      <c r="G158" s="84"/>
    </row>
    <row r="159" spans="1:7" ht="15.75" x14ac:dyDescent="0.25">
      <c r="A159" s="81"/>
      <c r="B159" s="84"/>
      <c r="C159" s="84"/>
      <c r="D159" s="84"/>
      <c r="E159" s="83"/>
      <c r="F159" s="83"/>
      <c r="G159" s="84"/>
    </row>
    <row r="160" spans="1:7" ht="15.75" x14ac:dyDescent="0.25">
      <c r="A160" s="81"/>
      <c r="B160" s="84"/>
      <c r="C160" s="84"/>
      <c r="D160" s="84"/>
      <c r="E160" s="83"/>
      <c r="F160" s="83"/>
      <c r="G160" s="84"/>
    </row>
    <row r="161" spans="1:7" ht="15.75" x14ac:dyDescent="0.25">
      <c r="A161" s="81"/>
      <c r="B161" s="84"/>
      <c r="C161" s="84"/>
      <c r="D161" s="84"/>
      <c r="E161" s="83"/>
      <c r="F161" s="83"/>
      <c r="G161" s="84"/>
    </row>
    <row r="162" spans="1:7" ht="15.75" x14ac:dyDescent="0.25">
      <c r="A162" s="81"/>
      <c r="B162" s="84"/>
      <c r="C162" s="84"/>
      <c r="D162" s="84"/>
      <c r="E162" s="83"/>
      <c r="F162" s="83"/>
      <c r="G162" s="84"/>
    </row>
    <row r="163" spans="1:7" ht="15.75" x14ac:dyDescent="0.25">
      <c r="A163" s="81"/>
      <c r="B163" s="84"/>
      <c r="C163" s="84"/>
      <c r="D163" s="84"/>
      <c r="E163" s="83"/>
      <c r="F163" s="83"/>
      <c r="G163" s="84"/>
    </row>
    <row r="164" spans="1:7" ht="15.75" x14ac:dyDescent="0.25">
      <c r="A164" s="81"/>
      <c r="B164" s="84"/>
      <c r="C164" s="84"/>
      <c r="D164" s="84"/>
      <c r="E164" s="83"/>
      <c r="F164" s="83"/>
      <c r="G164" s="84"/>
    </row>
    <row r="165" spans="1:7" ht="15.75" x14ac:dyDescent="0.25">
      <c r="A165" s="81"/>
      <c r="B165" s="84"/>
      <c r="C165" s="84"/>
      <c r="D165" s="84"/>
      <c r="E165" s="83"/>
      <c r="F165" s="83"/>
      <c r="G165" s="84"/>
    </row>
    <row r="166" spans="1:7" ht="15.75" x14ac:dyDescent="0.25">
      <c r="A166" s="81"/>
      <c r="B166" s="84"/>
      <c r="C166" s="84"/>
      <c r="D166" s="84"/>
      <c r="E166" s="83"/>
      <c r="F166" s="83"/>
      <c r="G166" s="84"/>
    </row>
    <row r="167" spans="1:7" ht="15.75" x14ac:dyDescent="0.25">
      <c r="A167" s="81"/>
      <c r="B167" s="84"/>
      <c r="C167" s="84"/>
      <c r="D167" s="84"/>
      <c r="E167" s="83"/>
      <c r="F167" s="83"/>
      <c r="G167" s="84"/>
    </row>
    <row r="168" spans="1:7" ht="15.75" x14ac:dyDescent="0.25">
      <c r="A168" s="81"/>
      <c r="B168" s="84"/>
      <c r="C168" s="84"/>
      <c r="D168" s="84"/>
      <c r="E168" s="83"/>
      <c r="F168" s="83"/>
      <c r="G168" s="84"/>
    </row>
    <row r="169" spans="1:7" ht="15.75" x14ac:dyDescent="0.25">
      <c r="A169" s="81"/>
      <c r="B169" s="84"/>
      <c r="C169" s="84"/>
      <c r="D169" s="84"/>
      <c r="E169" s="83"/>
      <c r="F169" s="83"/>
      <c r="G169" s="84"/>
    </row>
    <row r="170" spans="1:7" ht="15.75" x14ac:dyDescent="0.25">
      <c r="A170" s="81"/>
      <c r="B170" s="84"/>
      <c r="C170" s="84"/>
      <c r="D170" s="84"/>
      <c r="E170" s="83"/>
      <c r="F170" s="83"/>
      <c r="G170" s="84"/>
    </row>
    <row r="171" spans="1:7" ht="15.75" x14ac:dyDescent="0.25">
      <c r="A171" s="81"/>
      <c r="B171" s="84"/>
      <c r="C171" s="84"/>
      <c r="D171" s="84"/>
      <c r="E171" s="83"/>
      <c r="F171" s="83"/>
      <c r="G171" s="84"/>
    </row>
    <row r="172" spans="1:7" ht="15.75" x14ac:dyDescent="0.25">
      <c r="A172" s="81"/>
      <c r="B172" s="84"/>
      <c r="C172" s="84"/>
      <c r="D172" s="84"/>
      <c r="E172" s="83"/>
      <c r="F172" s="83"/>
      <c r="G172" s="84"/>
    </row>
    <row r="173" spans="1:7" ht="15.75" x14ac:dyDescent="0.25">
      <c r="A173" s="81"/>
      <c r="B173" s="84"/>
      <c r="C173" s="84"/>
      <c r="D173" s="84"/>
      <c r="E173" s="83"/>
      <c r="F173" s="83"/>
      <c r="G173" s="84"/>
    </row>
    <row r="174" spans="1:7" ht="15.75" x14ac:dyDescent="0.25">
      <c r="A174" s="81"/>
      <c r="B174" s="84"/>
      <c r="C174" s="84"/>
      <c r="D174" s="84"/>
      <c r="E174" s="83"/>
      <c r="F174" s="83"/>
      <c r="G174" s="84"/>
    </row>
    <row r="175" spans="1:7" ht="15.75" x14ac:dyDescent="0.25">
      <c r="A175" s="81"/>
      <c r="B175" s="84"/>
      <c r="C175" s="84"/>
      <c r="D175" s="84"/>
      <c r="E175" s="83"/>
      <c r="F175" s="83"/>
      <c r="G175" s="84"/>
    </row>
    <row r="176" spans="1:7" ht="15.75" x14ac:dyDescent="0.25">
      <c r="A176" s="81"/>
      <c r="B176" s="84"/>
      <c r="C176" s="84"/>
      <c r="D176" s="84"/>
      <c r="E176" s="83"/>
      <c r="F176" s="83"/>
      <c r="G176" s="84"/>
    </row>
    <row r="177" spans="1:7" ht="15.75" x14ac:dyDescent="0.25">
      <c r="A177" s="81"/>
      <c r="B177" s="84"/>
      <c r="C177" s="84"/>
      <c r="D177" s="84"/>
      <c r="E177" s="83"/>
      <c r="F177" s="83"/>
      <c r="G177" s="84"/>
    </row>
    <row r="178" spans="1:7" ht="15.75" x14ac:dyDescent="0.25">
      <c r="A178" s="81"/>
      <c r="B178" s="84"/>
      <c r="C178" s="84"/>
      <c r="D178" s="84"/>
      <c r="E178" s="83"/>
      <c r="F178" s="83"/>
      <c r="G178" s="84"/>
    </row>
    <row r="179" spans="1:7" ht="15.75" x14ac:dyDescent="0.25">
      <c r="A179" s="81"/>
      <c r="B179" s="84"/>
      <c r="C179" s="84"/>
      <c r="D179" s="84"/>
      <c r="E179" s="83"/>
      <c r="F179" s="83"/>
      <c r="G179" s="84"/>
    </row>
    <row r="180" spans="1:7" ht="15.75" x14ac:dyDescent="0.25">
      <c r="A180" s="81"/>
      <c r="B180" s="84"/>
      <c r="C180" s="84"/>
      <c r="D180" s="84"/>
      <c r="E180" s="83"/>
      <c r="F180" s="83"/>
      <c r="G180" s="84"/>
    </row>
    <row r="181" spans="1:7" ht="15.75" x14ac:dyDescent="0.25">
      <c r="A181" s="81"/>
      <c r="B181" s="84"/>
      <c r="C181" s="84"/>
      <c r="D181" s="84"/>
      <c r="E181" s="83"/>
      <c r="F181" s="83"/>
      <c r="G181" s="84"/>
    </row>
    <row r="182" spans="1:7" ht="15.75" x14ac:dyDescent="0.25">
      <c r="A182" s="81"/>
      <c r="B182" s="84"/>
      <c r="C182" s="84"/>
      <c r="D182" s="84"/>
      <c r="E182" s="83"/>
      <c r="F182" s="83"/>
      <c r="G182" s="84"/>
    </row>
    <row r="183" spans="1:7" ht="15.75" x14ac:dyDescent="0.25">
      <c r="A183" s="81"/>
      <c r="B183" s="84"/>
      <c r="C183" s="84"/>
      <c r="D183" s="84"/>
      <c r="E183" s="83"/>
      <c r="F183" s="83"/>
      <c r="G183" s="84"/>
    </row>
    <row r="184" spans="1:7" ht="15.75" x14ac:dyDescent="0.25">
      <c r="A184" s="81"/>
      <c r="B184" s="84"/>
      <c r="C184" s="84"/>
      <c r="D184" s="84"/>
      <c r="E184" s="83"/>
      <c r="F184" s="83"/>
      <c r="G184" s="84"/>
    </row>
    <row r="185" spans="1:7" ht="15.75" x14ac:dyDescent="0.25">
      <c r="A185" s="81"/>
      <c r="B185" s="84"/>
      <c r="C185" s="84"/>
      <c r="D185" s="84"/>
      <c r="E185" s="83"/>
      <c r="F185" s="83"/>
      <c r="G185" s="84"/>
    </row>
    <row r="186" spans="1:7" ht="15.75" x14ac:dyDescent="0.25">
      <c r="A186" s="81"/>
      <c r="B186" s="84"/>
      <c r="C186" s="84"/>
      <c r="D186" s="84"/>
      <c r="E186" s="83"/>
      <c r="F186" s="83"/>
      <c r="G186" s="84"/>
    </row>
    <row r="187" spans="1:7" ht="15.75" x14ac:dyDescent="0.25">
      <c r="A187" s="81"/>
      <c r="B187" s="84"/>
      <c r="C187" s="84"/>
      <c r="D187" s="84"/>
      <c r="E187" s="83"/>
      <c r="F187" s="83"/>
      <c r="G187" s="84"/>
    </row>
    <row r="188" spans="1:7" ht="15.75" x14ac:dyDescent="0.25">
      <c r="A188" s="81"/>
      <c r="B188" s="84"/>
      <c r="C188" s="84"/>
      <c r="D188" s="84"/>
      <c r="E188" s="83"/>
      <c r="F188" s="83"/>
      <c r="G188" s="84"/>
    </row>
    <row r="189" spans="1:7" ht="15.75" x14ac:dyDescent="0.25">
      <c r="A189" s="81"/>
      <c r="B189" s="84"/>
      <c r="C189" s="84"/>
      <c r="D189" s="84"/>
      <c r="E189" s="83"/>
      <c r="F189" s="83"/>
      <c r="G189" s="84"/>
    </row>
    <row r="190" spans="1:7" ht="15.75" x14ac:dyDescent="0.25">
      <c r="A190" s="81"/>
      <c r="B190" s="84"/>
      <c r="C190" s="84"/>
      <c r="D190" s="84"/>
      <c r="E190" s="83"/>
      <c r="F190" s="83"/>
      <c r="G190" s="84"/>
    </row>
    <row r="191" spans="1:7" ht="15.75" x14ac:dyDescent="0.25">
      <c r="A191" s="81"/>
      <c r="B191" s="84"/>
      <c r="C191" s="84"/>
      <c r="D191" s="84"/>
      <c r="E191" s="83"/>
      <c r="F191" s="83"/>
      <c r="G191" s="84"/>
    </row>
    <row r="192" spans="1:7" ht="15.75" x14ac:dyDescent="0.25">
      <c r="A192" s="81"/>
      <c r="B192" s="84"/>
      <c r="C192" s="84"/>
      <c r="D192" s="84"/>
      <c r="E192" s="83"/>
      <c r="F192" s="83"/>
      <c r="G192" s="84"/>
    </row>
    <row r="193" spans="1:7" ht="15.75" x14ac:dyDescent="0.25">
      <c r="A193" s="81"/>
      <c r="B193" s="84"/>
      <c r="C193" s="84"/>
      <c r="D193" s="84"/>
      <c r="E193" s="83"/>
      <c r="F193" s="83"/>
      <c r="G193" s="84"/>
    </row>
    <row r="194" spans="1:7" ht="15.75" x14ac:dyDescent="0.25">
      <c r="A194" s="81"/>
      <c r="B194" s="84"/>
      <c r="C194" s="84"/>
      <c r="D194" s="84"/>
      <c r="E194" s="83"/>
      <c r="F194" s="83"/>
      <c r="G194" s="84"/>
    </row>
    <row r="195" spans="1:7" ht="15.75" x14ac:dyDescent="0.25">
      <c r="A195" s="81"/>
      <c r="B195" s="84"/>
      <c r="C195" s="84"/>
      <c r="D195" s="84"/>
      <c r="E195" s="83"/>
      <c r="F195" s="83"/>
      <c r="G195" s="84"/>
    </row>
    <row r="196" spans="1:7" ht="15.75" x14ac:dyDescent="0.25">
      <c r="A196" s="81"/>
      <c r="B196" s="84"/>
      <c r="C196" s="84"/>
      <c r="D196" s="84"/>
      <c r="E196" s="83"/>
      <c r="F196" s="83"/>
      <c r="G196" s="84"/>
    </row>
    <row r="197" spans="1:7" ht="15.75" x14ac:dyDescent="0.25">
      <c r="A197" s="81"/>
      <c r="B197" s="84"/>
      <c r="C197" s="84"/>
      <c r="D197" s="84"/>
      <c r="E197" s="83"/>
      <c r="F197" s="83"/>
      <c r="G197" s="84"/>
    </row>
    <row r="198" spans="1:7" ht="15.75" x14ac:dyDescent="0.25">
      <c r="A198" s="81"/>
      <c r="B198" s="84"/>
      <c r="C198" s="84"/>
      <c r="D198" s="84"/>
      <c r="E198" s="83"/>
      <c r="F198" s="83"/>
      <c r="G198" s="84"/>
    </row>
  </sheetData>
  <mergeCells count="1">
    <mergeCell ref="A17:G1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N479"/>
  <sheetViews>
    <sheetView showGridLines="0" showRowColHeaders="0" workbookViewId="0">
      <selection activeCell="A18" sqref="A18:E20"/>
    </sheetView>
  </sheetViews>
  <sheetFormatPr baseColWidth="10" defaultRowHeight="15.75" x14ac:dyDescent="0.25"/>
  <cols>
    <col min="1" max="1" width="33.42578125" style="119" customWidth="1"/>
    <col min="2" max="2" width="37.42578125" style="119" customWidth="1"/>
    <col min="3" max="3" width="27.28515625" style="119" customWidth="1"/>
    <col min="4" max="4" width="18.28515625" style="119" customWidth="1"/>
    <col min="5" max="5" width="19.42578125" style="119" customWidth="1"/>
    <col min="6" max="6" width="14" style="99" customWidth="1"/>
    <col min="7" max="16384" width="11.42578125" style="99"/>
  </cols>
  <sheetData>
    <row r="1" spans="1:14" ht="29.25" customHeight="1" thickBot="1" x14ac:dyDescent="0.3">
      <c r="A1" s="254" t="s">
        <v>240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6"/>
    </row>
    <row r="2" spans="1:14" ht="29.25" customHeight="1" thickBot="1" x14ac:dyDescent="0.3">
      <c r="A2" s="254" t="s">
        <v>252</v>
      </c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6"/>
    </row>
    <row r="3" spans="1:14" ht="27" customHeight="1" thickBot="1" x14ac:dyDescent="0.3">
      <c r="A3" s="100" t="s">
        <v>253</v>
      </c>
      <c r="B3" s="101">
        <v>38</v>
      </c>
      <c r="C3" s="101">
        <v>40</v>
      </c>
      <c r="D3" s="101">
        <v>42</v>
      </c>
      <c r="E3" s="101">
        <v>44</v>
      </c>
      <c r="F3" s="101">
        <v>46</v>
      </c>
      <c r="G3" s="101">
        <v>48</v>
      </c>
      <c r="H3" s="101">
        <v>50</v>
      </c>
      <c r="I3" s="101">
        <v>52</v>
      </c>
      <c r="J3" s="101">
        <v>54</v>
      </c>
      <c r="K3" s="101">
        <v>56</v>
      </c>
      <c r="L3" s="101">
        <v>58</v>
      </c>
      <c r="M3" s="101">
        <v>60</v>
      </c>
      <c r="N3" s="102" t="s">
        <v>7</v>
      </c>
    </row>
    <row r="4" spans="1:14" ht="16.5" thickBot="1" x14ac:dyDescent="0.3">
      <c r="A4" s="103" t="s">
        <v>242</v>
      </c>
      <c r="B4" s="117"/>
      <c r="C4" s="117">
        <v>4</v>
      </c>
      <c r="D4" s="117">
        <v>2</v>
      </c>
      <c r="E4" s="117">
        <v>10</v>
      </c>
      <c r="F4" s="117">
        <v>7</v>
      </c>
      <c r="G4" s="117">
        <v>8</v>
      </c>
      <c r="H4" s="117">
        <v>1</v>
      </c>
      <c r="I4" s="117">
        <v>5</v>
      </c>
      <c r="J4" s="117">
        <v>4</v>
      </c>
      <c r="K4" s="117">
        <v>5</v>
      </c>
      <c r="L4" s="117"/>
      <c r="M4" s="117"/>
      <c r="N4" s="102">
        <f t="shared" ref="N4:N11" si="0">SUM(B4:M4)</f>
        <v>46</v>
      </c>
    </row>
    <row r="5" spans="1:14" ht="16.5" thickBot="1" x14ac:dyDescent="0.3">
      <c r="A5" s="103" t="s">
        <v>243</v>
      </c>
      <c r="B5" s="118"/>
      <c r="C5" s="117">
        <v>2</v>
      </c>
      <c r="D5" s="117">
        <v>1</v>
      </c>
      <c r="E5" s="117"/>
      <c r="F5" s="117">
        <v>1</v>
      </c>
      <c r="G5" s="117"/>
      <c r="H5" s="117"/>
      <c r="I5" s="117"/>
      <c r="J5" s="117">
        <v>1</v>
      </c>
      <c r="K5" s="117"/>
      <c r="L5" s="117"/>
      <c r="M5" s="117"/>
      <c r="N5" s="102">
        <f t="shared" si="0"/>
        <v>5</v>
      </c>
    </row>
    <row r="6" spans="1:14" ht="16.5" thickBot="1" x14ac:dyDescent="0.3">
      <c r="A6" s="103" t="s">
        <v>244</v>
      </c>
      <c r="B6" s="117"/>
      <c r="C6" s="117">
        <v>4</v>
      </c>
      <c r="D6" s="117">
        <v>1</v>
      </c>
      <c r="E6" s="117">
        <v>7</v>
      </c>
      <c r="F6" s="117">
        <v>6</v>
      </c>
      <c r="G6" s="117"/>
      <c r="H6" s="117"/>
      <c r="I6" s="117">
        <v>1</v>
      </c>
      <c r="J6" s="117"/>
      <c r="K6" s="117"/>
      <c r="L6" s="117"/>
      <c r="M6" s="117"/>
      <c r="N6" s="102">
        <f t="shared" si="0"/>
        <v>19</v>
      </c>
    </row>
    <row r="7" spans="1:14" ht="16.5" thickBot="1" x14ac:dyDescent="0.3">
      <c r="A7" s="103" t="s">
        <v>245</v>
      </c>
      <c r="B7" s="117"/>
      <c r="C7" s="117"/>
      <c r="D7" s="117"/>
      <c r="E7" s="117"/>
      <c r="F7" s="117">
        <v>4</v>
      </c>
      <c r="G7" s="117">
        <v>1</v>
      </c>
      <c r="H7" s="117"/>
      <c r="I7" s="117"/>
      <c r="J7" s="117"/>
      <c r="K7" s="117"/>
      <c r="L7" s="117"/>
      <c r="M7" s="117"/>
      <c r="N7" s="102">
        <f t="shared" si="0"/>
        <v>5</v>
      </c>
    </row>
    <row r="8" spans="1:14" ht="16.5" thickBot="1" x14ac:dyDescent="0.3">
      <c r="A8" s="103" t="s">
        <v>246</v>
      </c>
      <c r="B8" s="117"/>
      <c r="C8" s="117"/>
      <c r="D8" s="117"/>
      <c r="E8" s="117"/>
      <c r="F8" s="117"/>
      <c r="G8" s="117">
        <v>1</v>
      </c>
      <c r="H8" s="117"/>
      <c r="I8" s="117"/>
      <c r="J8" s="117"/>
      <c r="K8" s="117"/>
      <c r="L8" s="117">
        <v>3</v>
      </c>
      <c r="M8" s="117">
        <v>2</v>
      </c>
      <c r="N8" s="102">
        <f t="shared" si="0"/>
        <v>6</v>
      </c>
    </row>
    <row r="9" spans="1:14" ht="16.5" thickBot="1" x14ac:dyDescent="0.3">
      <c r="A9" s="216" t="s">
        <v>247</v>
      </c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>
        <v>1</v>
      </c>
      <c r="N9" s="102">
        <f t="shared" si="0"/>
        <v>1</v>
      </c>
    </row>
    <row r="10" spans="1:14" ht="16.5" thickBot="1" x14ac:dyDescent="0.3">
      <c r="A10" s="217" t="s">
        <v>1011</v>
      </c>
      <c r="B10" s="218"/>
      <c r="C10" s="218"/>
      <c r="D10" s="218"/>
      <c r="E10" s="218"/>
      <c r="F10" s="218"/>
      <c r="G10" s="218"/>
      <c r="H10" s="218">
        <v>1</v>
      </c>
      <c r="I10" s="218"/>
      <c r="J10" s="218"/>
      <c r="K10" s="218"/>
      <c r="L10" s="218"/>
      <c r="M10" s="218"/>
      <c r="N10" s="219">
        <f t="shared" si="0"/>
        <v>1</v>
      </c>
    </row>
    <row r="11" spans="1:14" ht="16.5" thickBot="1" x14ac:dyDescent="0.3">
      <c r="A11" s="217" t="s">
        <v>248</v>
      </c>
      <c r="B11" s="226"/>
      <c r="C11" s="226">
        <v>1</v>
      </c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19">
        <f t="shared" si="0"/>
        <v>1</v>
      </c>
    </row>
    <row r="12" spans="1:14" ht="16.5" thickBot="1" x14ac:dyDescent="0.3">
      <c r="A12" s="257" t="s">
        <v>249</v>
      </c>
      <c r="B12" s="258"/>
      <c r="C12" s="258"/>
      <c r="D12" s="258"/>
      <c r="E12" s="258"/>
      <c r="F12" s="258"/>
      <c r="G12" s="258"/>
      <c r="H12" s="258"/>
      <c r="I12" s="258"/>
      <c r="J12" s="258"/>
      <c r="K12" s="259"/>
    </row>
    <row r="13" spans="1:14" x14ac:dyDescent="0.25">
      <c r="A13" s="260" t="s">
        <v>7</v>
      </c>
      <c r="B13" s="262" t="s">
        <v>241</v>
      </c>
      <c r="C13" s="262"/>
      <c r="D13" s="262"/>
      <c r="E13" s="262"/>
      <c r="F13" s="262"/>
      <c r="G13" s="262"/>
      <c r="H13" s="262"/>
      <c r="I13" s="262"/>
      <c r="J13" s="262"/>
      <c r="K13" s="262"/>
    </row>
    <row r="14" spans="1:14" x14ac:dyDescent="0.25">
      <c r="A14" s="261"/>
      <c r="B14" s="104">
        <v>37</v>
      </c>
      <c r="C14" s="105">
        <v>38</v>
      </c>
      <c r="D14" s="105">
        <v>39</v>
      </c>
      <c r="E14" s="105">
        <v>40</v>
      </c>
      <c r="F14" s="105">
        <v>41</v>
      </c>
      <c r="G14" s="105">
        <v>42</v>
      </c>
      <c r="H14" s="105">
        <v>43</v>
      </c>
      <c r="I14" s="105">
        <v>44</v>
      </c>
      <c r="J14" s="105">
        <v>45</v>
      </c>
      <c r="K14" s="105">
        <v>47</v>
      </c>
    </row>
    <row r="15" spans="1:14" s="106" customFormat="1" x14ac:dyDescent="0.25">
      <c r="A15" s="2">
        <f>SUM(B15:K15)</f>
        <v>20</v>
      </c>
      <c r="B15" s="38">
        <v>2</v>
      </c>
      <c r="C15" s="38">
        <v>1</v>
      </c>
      <c r="D15" s="38">
        <v>3</v>
      </c>
      <c r="E15" s="38">
        <v>2</v>
      </c>
      <c r="F15" s="38"/>
      <c r="G15" s="38">
        <v>4</v>
      </c>
      <c r="H15" s="38">
        <v>4</v>
      </c>
      <c r="I15" s="38">
        <v>2</v>
      </c>
      <c r="J15" s="38">
        <v>1</v>
      </c>
      <c r="K15" s="38">
        <v>1</v>
      </c>
    </row>
    <row r="16" spans="1:14" s="107" customFormat="1" ht="21" customHeight="1" x14ac:dyDescent="0.25"/>
    <row r="17" spans="1:6" x14ac:dyDescent="0.25">
      <c r="A17" s="108" t="s">
        <v>1</v>
      </c>
      <c r="B17" s="108" t="s">
        <v>3</v>
      </c>
      <c r="C17" s="108" t="s">
        <v>250</v>
      </c>
      <c r="D17" s="108" t="s">
        <v>254</v>
      </c>
      <c r="E17" s="108" t="s">
        <v>251</v>
      </c>
      <c r="F17" s="109"/>
    </row>
    <row r="18" spans="1:6" x14ac:dyDescent="0.25">
      <c r="F18" s="110"/>
    </row>
    <row r="19" spans="1:6" x14ac:dyDescent="0.25">
      <c r="F19" s="111"/>
    </row>
    <row r="20" spans="1:6" x14ac:dyDescent="0.25">
      <c r="F20" s="267"/>
    </row>
    <row r="21" spans="1:6" x14ac:dyDescent="0.25">
      <c r="F21" s="267"/>
    </row>
    <row r="22" spans="1:6" x14ac:dyDescent="0.25">
      <c r="F22" s="111"/>
    </row>
    <row r="23" spans="1:6" x14ac:dyDescent="0.25">
      <c r="F23" s="111"/>
    </row>
    <row r="24" spans="1:6" x14ac:dyDescent="0.25">
      <c r="F24" s="111"/>
    </row>
    <row r="25" spans="1:6" x14ac:dyDescent="0.25">
      <c r="F25" s="111"/>
    </row>
    <row r="26" spans="1:6" x14ac:dyDescent="0.25">
      <c r="F26" s="111"/>
    </row>
    <row r="27" spans="1:6" x14ac:dyDescent="0.25">
      <c r="F27" s="111"/>
    </row>
    <row r="28" spans="1:6" x14ac:dyDescent="0.25">
      <c r="F28" s="111"/>
    </row>
    <row r="29" spans="1:6" x14ac:dyDescent="0.25">
      <c r="A29" s="263"/>
      <c r="B29" s="264"/>
      <c r="C29" s="120"/>
      <c r="D29" s="121"/>
      <c r="E29" s="121"/>
      <c r="F29" s="111"/>
    </row>
    <row r="30" spans="1:6" x14ac:dyDescent="0.25">
      <c r="A30" s="263"/>
      <c r="B30" s="264"/>
      <c r="C30" s="122"/>
      <c r="D30" s="121"/>
      <c r="E30" s="121"/>
      <c r="F30" s="111"/>
    </row>
    <row r="31" spans="1:6" x14ac:dyDescent="0.25">
      <c r="A31" s="123"/>
      <c r="B31" s="121"/>
      <c r="C31" s="120"/>
      <c r="D31" s="121"/>
      <c r="E31" s="121"/>
      <c r="F31" s="111"/>
    </row>
    <row r="32" spans="1:6" x14ac:dyDescent="0.25">
      <c r="A32" s="123"/>
      <c r="B32" s="121"/>
      <c r="C32" s="120"/>
      <c r="D32" s="121"/>
      <c r="E32" s="121"/>
      <c r="F32" s="111"/>
    </row>
    <row r="33" spans="1:6" x14ac:dyDescent="0.25">
      <c r="A33" s="263"/>
      <c r="B33" s="264"/>
      <c r="C33" s="122"/>
      <c r="D33" s="121"/>
      <c r="E33" s="121"/>
      <c r="F33" s="111"/>
    </row>
    <row r="34" spans="1:6" x14ac:dyDescent="0.25">
      <c r="A34" s="263"/>
      <c r="B34" s="264"/>
      <c r="C34" s="120"/>
      <c r="D34" s="121"/>
      <c r="E34" s="121"/>
      <c r="F34" s="111"/>
    </row>
    <row r="35" spans="1:6" x14ac:dyDescent="0.25">
      <c r="A35" s="123"/>
      <c r="B35" s="121"/>
      <c r="C35" s="120"/>
      <c r="D35" s="121"/>
      <c r="E35" s="121"/>
      <c r="F35" s="111"/>
    </row>
    <row r="36" spans="1:6" x14ac:dyDescent="0.25">
      <c r="A36" s="265"/>
      <c r="B36" s="265"/>
      <c r="C36" s="265"/>
      <c r="D36" s="265"/>
      <c r="E36" s="265"/>
      <c r="F36" s="111"/>
    </row>
    <row r="37" spans="1:6" x14ac:dyDescent="0.25">
      <c r="A37" s="123"/>
      <c r="B37" s="121"/>
      <c r="C37" s="120"/>
      <c r="D37" s="121"/>
      <c r="E37" s="121"/>
      <c r="F37" s="111"/>
    </row>
    <row r="38" spans="1:6" x14ac:dyDescent="0.25">
      <c r="A38" s="123"/>
      <c r="B38" s="121"/>
      <c r="C38" s="120"/>
      <c r="D38" s="121"/>
      <c r="E38" s="121"/>
      <c r="F38" s="111"/>
    </row>
    <row r="39" spans="1:6" x14ac:dyDescent="0.25">
      <c r="A39" s="123"/>
      <c r="B39" s="121"/>
      <c r="C39" s="120"/>
      <c r="D39" s="121"/>
      <c r="E39" s="121"/>
      <c r="F39" s="111"/>
    </row>
    <row r="40" spans="1:6" x14ac:dyDescent="0.25">
      <c r="A40" s="123"/>
      <c r="B40" s="121"/>
      <c r="C40" s="122"/>
      <c r="D40" s="121"/>
      <c r="E40" s="121"/>
      <c r="F40" s="111"/>
    </row>
    <row r="41" spans="1:6" x14ac:dyDescent="0.25">
      <c r="A41" s="263"/>
      <c r="B41" s="264"/>
      <c r="C41" s="120"/>
      <c r="D41" s="121"/>
      <c r="E41" s="121"/>
      <c r="F41" s="111"/>
    </row>
    <row r="42" spans="1:6" x14ac:dyDescent="0.25">
      <c r="A42" s="263"/>
      <c r="B42" s="264"/>
      <c r="C42" s="122"/>
      <c r="D42" s="121"/>
      <c r="E42" s="121"/>
      <c r="F42" s="111"/>
    </row>
    <row r="43" spans="1:6" x14ac:dyDescent="0.25">
      <c r="A43" s="123"/>
      <c r="B43" s="121"/>
      <c r="C43" s="122"/>
      <c r="D43" s="121"/>
      <c r="E43" s="121"/>
      <c r="F43" s="111"/>
    </row>
    <row r="44" spans="1:6" x14ac:dyDescent="0.25">
      <c r="A44" s="123"/>
      <c r="B44" s="121"/>
      <c r="C44" s="122"/>
      <c r="D44" s="121"/>
      <c r="E44" s="121"/>
      <c r="F44" s="111"/>
    </row>
    <row r="45" spans="1:6" x14ac:dyDescent="0.25">
      <c r="A45" s="123"/>
      <c r="B45" s="121"/>
      <c r="C45" s="122"/>
      <c r="D45" s="121"/>
      <c r="E45" s="121"/>
      <c r="F45" s="111"/>
    </row>
    <row r="46" spans="1:6" x14ac:dyDescent="0.25">
      <c r="A46" s="123"/>
      <c r="B46" s="121"/>
      <c r="C46" s="122"/>
      <c r="D46" s="121"/>
      <c r="E46" s="121"/>
      <c r="F46" s="111"/>
    </row>
    <row r="47" spans="1:6" x14ac:dyDescent="0.25">
      <c r="A47" s="124"/>
      <c r="B47" s="125"/>
      <c r="C47" s="125"/>
      <c r="D47" s="125"/>
      <c r="E47" s="125"/>
      <c r="F47" s="111"/>
    </row>
    <row r="48" spans="1:6" x14ac:dyDescent="0.25">
      <c r="A48" s="123"/>
      <c r="B48" s="264"/>
      <c r="C48" s="264"/>
      <c r="D48" s="122"/>
      <c r="E48" s="121"/>
      <c r="F48" s="111"/>
    </row>
    <row r="49" spans="1:6" x14ac:dyDescent="0.25">
      <c r="A49" s="123"/>
      <c r="B49" s="264"/>
      <c r="C49" s="264"/>
      <c r="D49" s="122"/>
      <c r="E49" s="121"/>
      <c r="F49" s="111"/>
    </row>
    <row r="50" spans="1:6" x14ac:dyDescent="0.25">
      <c r="A50" s="123"/>
      <c r="B50" s="264"/>
      <c r="C50" s="264"/>
      <c r="D50" s="120"/>
      <c r="E50" s="121"/>
      <c r="F50" s="111"/>
    </row>
    <row r="51" spans="1:6" x14ac:dyDescent="0.25">
      <c r="A51" s="123"/>
      <c r="B51" s="264"/>
      <c r="C51" s="264"/>
      <c r="D51" s="120"/>
      <c r="E51" s="121"/>
      <c r="F51" s="111"/>
    </row>
    <row r="52" spans="1:6" x14ac:dyDescent="0.25">
      <c r="A52" s="123"/>
      <c r="B52" s="264"/>
      <c r="C52" s="264"/>
      <c r="D52" s="122"/>
      <c r="E52" s="121"/>
      <c r="F52" s="111"/>
    </row>
    <row r="53" spans="1:6" x14ac:dyDescent="0.25">
      <c r="A53" s="263"/>
      <c r="B53" s="264"/>
      <c r="C53" s="264"/>
      <c r="D53" s="122"/>
      <c r="E53" s="121"/>
      <c r="F53" s="111"/>
    </row>
    <row r="54" spans="1:6" x14ac:dyDescent="0.25">
      <c r="A54" s="263"/>
      <c r="B54" s="264"/>
      <c r="C54" s="264"/>
      <c r="D54" s="122"/>
      <c r="E54" s="121"/>
      <c r="F54" s="111"/>
    </row>
    <row r="55" spans="1:6" x14ac:dyDescent="0.25">
      <c r="A55" s="123"/>
      <c r="B55" s="264"/>
      <c r="C55" s="264"/>
      <c r="D55" s="120"/>
      <c r="E55" s="121"/>
      <c r="F55" s="111"/>
    </row>
    <row r="56" spans="1:6" x14ac:dyDescent="0.25">
      <c r="A56" s="123"/>
      <c r="B56" s="264"/>
      <c r="C56" s="264"/>
      <c r="D56" s="122"/>
      <c r="E56" s="121"/>
      <c r="F56" s="111"/>
    </row>
    <row r="57" spans="1:6" x14ac:dyDescent="0.25">
      <c r="A57" s="123"/>
      <c r="B57" s="264"/>
      <c r="C57" s="264"/>
      <c r="D57" s="122"/>
      <c r="E57" s="121"/>
      <c r="F57" s="111"/>
    </row>
    <row r="58" spans="1:6" x14ac:dyDescent="0.25">
      <c r="A58" s="123"/>
      <c r="B58" s="264"/>
      <c r="C58" s="264"/>
      <c r="D58" s="122"/>
      <c r="E58" s="121"/>
      <c r="F58" s="113"/>
    </row>
    <row r="59" spans="1:6" x14ac:dyDescent="0.25">
      <c r="A59" s="123"/>
      <c r="B59" s="264"/>
      <c r="C59" s="264"/>
      <c r="D59" s="122"/>
      <c r="E59" s="121"/>
      <c r="F59" s="111"/>
    </row>
    <row r="60" spans="1:6" x14ac:dyDescent="0.25">
      <c r="A60" s="123"/>
      <c r="B60" s="264"/>
      <c r="C60" s="264"/>
      <c r="D60" s="122"/>
      <c r="E60" s="121"/>
      <c r="F60" s="111"/>
    </row>
    <row r="61" spans="1:6" x14ac:dyDescent="0.25">
      <c r="A61" s="123"/>
      <c r="B61" s="264"/>
      <c r="C61" s="264"/>
      <c r="D61" s="122"/>
      <c r="E61" s="121"/>
      <c r="F61" s="111"/>
    </row>
    <row r="62" spans="1:6" x14ac:dyDescent="0.25">
      <c r="A62" s="263"/>
      <c r="B62" s="264"/>
      <c r="C62" s="264"/>
      <c r="D62" s="120"/>
      <c r="E62" s="121"/>
      <c r="F62" s="111"/>
    </row>
    <row r="63" spans="1:6" x14ac:dyDescent="0.25">
      <c r="A63" s="263"/>
      <c r="B63" s="264"/>
      <c r="C63" s="264"/>
      <c r="D63" s="120"/>
      <c r="E63" s="121"/>
      <c r="F63" s="111"/>
    </row>
    <row r="64" spans="1:6" x14ac:dyDescent="0.25">
      <c r="A64" s="123"/>
      <c r="B64" s="264"/>
      <c r="C64" s="264"/>
      <c r="D64" s="122"/>
      <c r="E64" s="121"/>
      <c r="F64" s="111"/>
    </row>
    <row r="65" spans="1:6" x14ac:dyDescent="0.25">
      <c r="A65" s="123"/>
      <c r="B65" s="264"/>
      <c r="C65" s="264"/>
      <c r="D65" s="122"/>
      <c r="E65" s="121"/>
      <c r="F65" s="111"/>
    </row>
    <row r="66" spans="1:6" x14ac:dyDescent="0.25">
      <c r="A66" s="123"/>
      <c r="B66" s="264"/>
      <c r="C66" s="264"/>
      <c r="D66" s="120"/>
      <c r="E66" s="121"/>
      <c r="F66" s="111"/>
    </row>
    <row r="67" spans="1:6" x14ac:dyDescent="0.25">
      <c r="A67" s="123"/>
      <c r="B67" s="264"/>
      <c r="C67" s="264"/>
      <c r="D67" s="120"/>
      <c r="E67" s="121"/>
      <c r="F67" s="111"/>
    </row>
    <row r="68" spans="1:6" x14ac:dyDescent="0.25">
      <c r="A68" s="123"/>
      <c r="B68" s="264"/>
      <c r="C68" s="264"/>
      <c r="D68" s="122"/>
      <c r="E68" s="121"/>
      <c r="F68" s="111"/>
    </row>
    <row r="69" spans="1:6" x14ac:dyDescent="0.25">
      <c r="A69" s="123"/>
      <c r="B69" s="264"/>
      <c r="C69" s="264"/>
      <c r="D69" s="122"/>
      <c r="E69" s="121"/>
      <c r="F69" s="111"/>
    </row>
    <row r="70" spans="1:6" x14ac:dyDescent="0.25">
      <c r="A70" s="123"/>
      <c r="B70" s="264"/>
      <c r="C70" s="264"/>
      <c r="D70" s="122"/>
      <c r="E70" s="121"/>
      <c r="F70" s="111"/>
    </row>
    <row r="71" spans="1:6" x14ac:dyDescent="0.25">
      <c r="A71" s="123"/>
      <c r="B71" s="264"/>
      <c r="C71" s="264"/>
      <c r="D71" s="122"/>
      <c r="E71" s="121"/>
      <c r="F71" s="111"/>
    </row>
    <row r="72" spans="1:6" x14ac:dyDescent="0.25">
      <c r="A72" s="123"/>
      <c r="B72" s="264"/>
      <c r="C72" s="264"/>
      <c r="D72" s="122"/>
      <c r="E72" s="121"/>
      <c r="F72" s="111"/>
    </row>
    <row r="73" spans="1:6" x14ac:dyDescent="0.25">
      <c r="A73" s="123"/>
      <c r="B73" s="264"/>
      <c r="C73" s="264"/>
      <c r="D73" s="120"/>
      <c r="E73" s="121"/>
      <c r="F73" s="111"/>
    </row>
    <row r="74" spans="1:6" x14ac:dyDescent="0.25">
      <c r="A74" s="123"/>
      <c r="B74" s="264"/>
      <c r="C74" s="264"/>
      <c r="D74" s="120"/>
      <c r="E74" s="121"/>
      <c r="F74" s="111"/>
    </row>
    <row r="75" spans="1:6" x14ac:dyDescent="0.25">
      <c r="A75" s="123"/>
      <c r="B75" s="264"/>
      <c r="C75" s="264"/>
      <c r="D75" s="122"/>
      <c r="E75" s="121"/>
      <c r="F75" s="111"/>
    </row>
    <row r="76" spans="1:6" x14ac:dyDescent="0.25">
      <c r="A76" s="123"/>
      <c r="B76" s="264"/>
      <c r="C76" s="264"/>
      <c r="D76" s="122"/>
      <c r="E76" s="121"/>
      <c r="F76" s="111"/>
    </row>
    <row r="77" spans="1:6" x14ac:dyDescent="0.25">
      <c r="A77" s="123"/>
      <c r="B77" s="264"/>
      <c r="C77" s="264"/>
      <c r="D77" s="122"/>
      <c r="E77" s="121"/>
      <c r="F77" s="111"/>
    </row>
    <row r="78" spans="1:6" x14ac:dyDescent="0.25">
      <c r="A78" s="123"/>
      <c r="B78" s="264"/>
      <c r="C78" s="264"/>
      <c r="D78" s="120"/>
      <c r="E78" s="121"/>
      <c r="F78" s="111"/>
    </row>
    <row r="79" spans="1:6" x14ac:dyDescent="0.25">
      <c r="A79" s="123"/>
      <c r="B79" s="264"/>
      <c r="C79" s="264"/>
      <c r="D79" s="120"/>
      <c r="E79" s="121"/>
      <c r="F79" s="111"/>
    </row>
    <row r="80" spans="1:6" x14ac:dyDescent="0.25">
      <c r="A80" s="123"/>
      <c r="B80" s="264"/>
      <c r="C80" s="264"/>
      <c r="D80" s="122"/>
      <c r="E80" s="121"/>
      <c r="F80" s="111"/>
    </row>
    <row r="81" spans="1:6" x14ac:dyDescent="0.25">
      <c r="A81" s="123"/>
      <c r="B81" s="264"/>
      <c r="C81" s="264"/>
      <c r="D81" s="122"/>
      <c r="E81" s="121"/>
      <c r="F81" s="111"/>
    </row>
    <row r="82" spans="1:6" x14ac:dyDescent="0.25">
      <c r="A82" s="123"/>
      <c r="B82" s="264"/>
      <c r="C82" s="264"/>
      <c r="D82" s="120"/>
      <c r="E82" s="121"/>
      <c r="F82" s="111"/>
    </row>
    <row r="83" spans="1:6" x14ac:dyDescent="0.25">
      <c r="A83" s="123"/>
      <c r="B83" s="264"/>
      <c r="C83" s="264"/>
      <c r="D83" s="122"/>
      <c r="E83" s="121"/>
      <c r="F83" s="111"/>
    </row>
    <row r="84" spans="1:6" x14ac:dyDescent="0.25">
      <c r="A84" s="123"/>
      <c r="B84" s="264"/>
      <c r="C84" s="264"/>
      <c r="D84" s="120"/>
      <c r="E84" s="121"/>
      <c r="F84" s="111"/>
    </row>
    <row r="85" spans="1:6" x14ac:dyDescent="0.25">
      <c r="A85" s="123"/>
      <c r="B85" s="264"/>
      <c r="C85" s="264"/>
      <c r="D85" s="120"/>
      <c r="E85" s="121"/>
      <c r="F85" s="111"/>
    </row>
    <row r="86" spans="1:6" x14ac:dyDescent="0.25">
      <c r="A86" s="263"/>
      <c r="B86" s="264"/>
      <c r="C86" s="264"/>
      <c r="D86" s="122"/>
      <c r="E86" s="121"/>
      <c r="F86" s="111"/>
    </row>
    <row r="87" spans="1:6" x14ac:dyDescent="0.25">
      <c r="A87" s="263"/>
      <c r="B87" s="264"/>
      <c r="C87" s="264"/>
      <c r="D87" s="122"/>
      <c r="E87" s="121"/>
      <c r="F87" s="111"/>
    </row>
    <row r="88" spans="1:6" x14ac:dyDescent="0.25">
      <c r="A88" s="263"/>
      <c r="B88" s="264"/>
      <c r="C88" s="264"/>
      <c r="D88" s="120"/>
      <c r="E88" s="121"/>
      <c r="F88" s="111"/>
    </row>
    <row r="89" spans="1:6" x14ac:dyDescent="0.25">
      <c r="A89" s="263"/>
      <c r="B89" s="264"/>
      <c r="C89" s="264"/>
      <c r="D89" s="122"/>
      <c r="E89" s="121"/>
      <c r="F89" s="111"/>
    </row>
    <row r="90" spans="1:6" x14ac:dyDescent="0.25">
      <c r="A90" s="263"/>
      <c r="B90" s="264"/>
      <c r="C90" s="264"/>
      <c r="D90" s="122"/>
      <c r="E90" s="121"/>
      <c r="F90" s="111"/>
    </row>
    <row r="91" spans="1:6" x14ac:dyDescent="0.25">
      <c r="A91" s="263"/>
      <c r="B91" s="264"/>
      <c r="C91" s="264"/>
      <c r="D91" s="122"/>
      <c r="E91" s="121"/>
      <c r="F91" s="111"/>
    </row>
    <row r="92" spans="1:6" x14ac:dyDescent="0.25">
      <c r="A92" s="123"/>
      <c r="B92" s="264"/>
      <c r="C92" s="264"/>
      <c r="D92" s="122"/>
      <c r="E92" s="121"/>
      <c r="F92" s="111"/>
    </row>
    <row r="93" spans="1:6" x14ac:dyDescent="0.25">
      <c r="A93" s="123"/>
      <c r="B93" s="264"/>
      <c r="C93" s="264"/>
      <c r="D93" s="122"/>
      <c r="E93" s="121"/>
      <c r="F93" s="111"/>
    </row>
    <row r="94" spans="1:6" x14ac:dyDescent="0.25">
      <c r="A94" s="123"/>
      <c r="B94" s="264"/>
      <c r="C94" s="264"/>
      <c r="D94" s="122"/>
      <c r="E94" s="121"/>
      <c r="F94" s="111"/>
    </row>
    <row r="95" spans="1:6" x14ac:dyDescent="0.25">
      <c r="A95" s="263"/>
      <c r="B95" s="264"/>
      <c r="C95" s="264"/>
      <c r="D95" s="120"/>
      <c r="E95" s="121"/>
      <c r="F95" s="111"/>
    </row>
    <row r="96" spans="1:6" x14ac:dyDescent="0.25">
      <c r="A96" s="263"/>
      <c r="B96" s="264"/>
      <c r="C96" s="264"/>
      <c r="D96" s="120"/>
      <c r="E96" s="121"/>
      <c r="F96" s="111"/>
    </row>
    <row r="97" spans="1:6" x14ac:dyDescent="0.25">
      <c r="A97" s="123"/>
      <c r="B97" s="264"/>
      <c r="C97" s="264"/>
      <c r="D97" s="122"/>
      <c r="E97" s="121"/>
      <c r="F97" s="111"/>
    </row>
    <row r="98" spans="1:6" x14ac:dyDescent="0.25">
      <c r="A98" s="126"/>
      <c r="B98" s="126"/>
      <c r="C98" s="126"/>
      <c r="D98" s="126"/>
      <c r="E98" s="126"/>
      <c r="F98" s="111"/>
    </row>
    <row r="99" spans="1:6" x14ac:dyDescent="0.25">
      <c r="A99" s="263"/>
      <c r="B99" s="264"/>
      <c r="C99" s="264"/>
      <c r="D99" s="122"/>
      <c r="E99" s="121"/>
      <c r="F99" s="111"/>
    </row>
    <row r="100" spans="1:6" x14ac:dyDescent="0.25">
      <c r="A100" s="263"/>
      <c r="B100" s="264"/>
      <c r="C100" s="264"/>
      <c r="D100" s="122"/>
      <c r="E100" s="121"/>
      <c r="F100" s="113"/>
    </row>
    <row r="101" spans="1:6" x14ac:dyDescent="0.25">
      <c r="A101" s="263"/>
      <c r="B101" s="264"/>
      <c r="C101" s="264"/>
      <c r="D101" s="120"/>
      <c r="E101" s="121"/>
      <c r="F101" s="111"/>
    </row>
    <row r="102" spans="1:6" x14ac:dyDescent="0.25">
      <c r="A102" s="263"/>
      <c r="B102" s="264"/>
      <c r="C102" s="264"/>
      <c r="D102" s="120"/>
      <c r="E102" s="121"/>
      <c r="F102" s="111"/>
    </row>
    <row r="103" spans="1:6" x14ac:dyDescent="0.25">
      <c r="A103" s="263"/>
      <c r="B103" s="264"/>
      <c r="C103" s="264"/>
      <c r="D103" s="120"/>
      <c r="E103" s="121"/>
      <c r="F103" s="111"/>
    </row>
    <row r="104" spans="1:6" x14ac:dyDescent="0.25">
      <c r="A104" s="263"/>
      <c r="B104" s="264"/>
      <c r="C104" s="264"/>
      <c r="D104" s="120"/>
      <c r="E104" s="121"/>
      <c r="F104" s="111"/>
    </row>
    <row r="105" spans="1:6" x14ac:dyDescent="0.25">
      <c r="A105" s="123"/>
      <c r="B105" s="264"/>
      <c r="C105" s="264"/>
      <c r="D105" s="122"/>
      <c r="E105" s="121"/>
      <c r="F105" s="111"/>
    </row>
    <row r="106" spans="1:6" x14ac:dyDescent="0.25">
      <c r="A106" s="123"/>
      <c r="B106" s="264"/>
      <c r="C106" s="264"/>
      <c r="D106" s="122"/>
      <c r="E106" s="121"/>
      <c r="F106" s="111"/>
    </row>
    <row r="107" spans="1:6" x14ac:dyDescent="0.25">
      <c r="A107" s="123"/>
      <c r="B107" s="264"/>
      <c r="C107" s="264"/>
      <c r="D107" s="120"/>
      <c r="E107" s="121"/>
      <c r="F107" s="111"/>
    </row>
    <row r="108" spans="1:6" x14ac:dyDescent="0.25">
      <c r="A108" s="123"/>
      <c r="B108" s="264"/>
      <c r="C108" s="264"/>
      <c r="D108" s="122"/>
      <c r="E108" s="121"/>
      <c r="F108" s="111"/>
    </row>
    <row r="109" spans="1:6" x14ac:dyDescent="0.25">
      <c r="A109" s="263"/>
      <c r="B109" s="264"/>
      <c r="C109" s="264"/>
      <c r="D109" s="122"/>
      <c r="E109" s="121"/>
      <c r="F109" s="111"/>
    </row>
    <row r="110" spans="1:6" x14ac:dyDescent="0.25">
      <c r="A110" s="263"/>
      <c r="B110" s="264"/>
      <c r="C110" s="264"/>
      <c r="D110" s="122"/>
      <c r="E110" s="121"/>
      <c r="F110" s="111"/>
    </row>
    <row r="111" spans="1:6" x14ac:dyDescent="0.25">
      <c r="A111" s="123"/>
      <c r="B111" s="264"/>
      <c r="C111" s="264"/>
      <c r="D111" s="122"/>
      <c r="E111" s="121"/>
      <c r="F111" s="111"/>
    </row>
    <row r="112" spans="1:6" x14ac:dyDescent="0.25">
      <c r="A112" s="123"/>
      <c r="B112" s="264"/>
      <c r="C112" s="264"/>
      <c r="D112" s="122"/>
      <c r="E112" s="121"/>
      <c r="F112" s="111"/>
    </row>
    <row r="113" spans="1:6" x14ac:dyDescent="0.25">
      <c r="A113" s="123"/>
      <c r="B113" s="264"/>
      <c r="C113" s="264"/>
      <c r="D113" s="122"/>
      <c r="E113" s="121"/>
      <c r="F113" s="111"/>
    </row>
    <row r="114" spans="1:6" x14ac:dyDescent="0.25">
      <c r="A114" s="123"/>
      <c r="B114" s="264"/>
      <c r="C114" s="264"/>
      <c r="D114" s="122"/>
      <c r="E114" s="121"/>
      <c r="F114" s="111"/>
    </row>
    <row r="115" spans="1:6" x14ac:dyDescent="0.25">
      <c r="A115" s="263"/>
      <c r="B115" s="264"/>
      <c r="C115" s="264"/>
      <c r="D115" s="122"/>
      <c r="E115" s="121"/>
      <c r="F115" s="111"/>
    </row>
    <row r="116" spans="1:6" x14ac:dyDescent="0.25">
      <c r="A116" s="263"/>
      <c r="B116" s="264"/>
      <c r="C116" s="264"/>
      <c r="D116" s="122"/>
      <c r="E116" s="121"/>
      <c r="F116" s="111"/>
    </row>
    <row r="117" spans="1:6" ht="33.75" customHeight="1" x14ac:dyDescent="0.25">
      <c r="A117" s="263"/>
      <c r="B117" s="264"/>
      <c r="C117" s="264"/>
      <c r="D117" s="122"/>
      <c r="E117" s="121"/>
      <c r="F117" s="111"/>
    </row>
    <row r="118" spans="1:6" x14ac:dyDescent="0.25">
      <c r="A118" s="263"/>
      <c r="B118" s="264"/>
      <c r="C118" s="264"/>
      <c r="D118" s="122"/>
      <c r="E118" s="121"/>
      <c r="F118" s="112"/>
    </row>
    <row r="119" spans="1:6" x14ac:dyDescent="0.25">
      <c r="A119" s="123"/>
      <c r="B119" s="264"/>
      <c r="C119" s="264"/>
      <c r="D119" s="122"/>
      <c r="E119" s="121"/>
      <c r="F119" s="112"/>
    </row>
    <row r="120" spans="1:6" x14ac:dyDescent="0.25">
      <c r="A120" s="123"/>
      <c r="B120" s="264"/>
      <c r="C120" s="264"/>
      <c r="D120" s="122"/>
      <c r="E120" s="121"/>
      <c r="F120" s="112"/>
    </row>
    <row r="121" spans="1:6" ht="33.75" customHeight="1" x14ac:dyDescent="0.25">
      <c r="A121" s="263"/>
      <c r="B121" s="264"/>
      <c r="C121" s="264"/>
      <c r="D121" s="122"/>
      <c r="E121" s="121"/>
      <c r="F121" s="111"/>
    </row>
    <row r="122" spans="1:6" x14ac:dyDescent="0.25">
      <c r="A122" s="263"/>
      <c r="B122" s="264"/>
      <c r="C122" s="264"/>
      <c r="D122" s="122"/>
      <c r="E122" s="121"/>
      <c r="F122" s="111"/>
    </row>
    <row r="123" spans="1:6" x14ac:dyDescent="0.25">
      <c r="A123" s="263"/>
      <c r="B123" s="264"/>
      <c r="C123" s="264"/>
      <c r="D123" s="122"/>
      <c r="E123" s="121"/>
      <c r="F123" s="111"/>
    </row>
    <row r="124" spans="1:6" x14ac:dyDescent="0.25">
      <c r="A124" s="263"/>
      <c r="B124" s="264"/>
      <c r="C124" s="264"/>
      <c r="D124" s="122"/>
      <c r="E124" s="121"/>
      <c r="F124" s="111"/>
    </row>
    <row r="125" spans="1:6" x14ac:dyDescent="0.25">
      <c r="A125" s="263"/>
      <c r="B125" s="264"/>
      <c r="C125" s="264"/>
      <c r="D125" s="120"/>
      <c r="E125" s="121"/>
      <c r="F125" s="111"/>
    </row>
    <row r="126" spans="1:6" x14ac:dyDescent="0.25">
      <c r="A126" s="263"/>
      <c r="B126" s="264"/>
      <c r="C126" s="264"/>
      <c r="D126" s="122"/>
      <c r="E126" s="121"/>
      <c r="F126" s="111"/>
    </row>
    <row r="127" spans="1:6" x14ac:dyDescent="0.25">
      <c r="A127" s="123"/>
      <c r="B127" s="264"/>
      <c r="C127" s="264"/>
      <c r="D127" s="122"/>
      <c r="E127" s="121"/>
      <c r="F127" s="111"/>
    </row>
    <row r="128" spans="1:6" x14ac:dyDescent="0.25">
      <c r="A128" s="121"/>
      <c r="B128" s="121"/>
      <c r="C128" s="121"/>
      <c r="D128" s="121"/>
      <c r="E128" s="121"/>
      <c r="F128" s="111"/>
    </row>
    <row r="129" spans="1:6" x14ac:dyDescent="0.25">
      <c r="A129" s="127"/>
      <c r="B129" s="127"/>
      <c r="C129" s="127"/>
      <c r="D129" s="127"/>
      <c r="E129" s="127"/>
      <c r="F129" s="111"/>
    </row>
    <row r="130" spans="1:6" x14ac:dyDescent="0.25">
      <c r="A130" s="123"/>
      <c r="B130" s="264"/>
      <c r="C130" s="264"/>
      <c r="D130" s="122"/>
      <c r="E130" s="121"/>
      <c r="F130" s="111"/>
    </row>
    <row r="131" spans="1:6" x14ac:dyDescent="0.25">
      <c r="A131" s="123"/>
      <c r="B131" s="264"/>
      <c r="C131" s="264"/>
      <c r="D131" s="122"/>
      <c r="E131" s="121"/>
      <c r="F131" s="111"/>
    </row>
    <row r="132" spans="1:6" x14ac:dyDescent="0.25">
      <c r="A132" s="123"/>
      <c r="B132" s="264"/>
      <c r="C132" s="264"/>
      <c r="D132" s="122"/>
      <c r="E132" s="121"/>
      <c r="F132" s="111"/>
    </row>
    <row r="133" spans="1:6" x14ac:dyDescent="0.25">
      <c r="A133" s="123"/>
      <c r="B133" s="264"/>
      <c r="C133" s="264"/>
      <c r="D133" s="122"/>
      <c r="E133" s="121"/>
      <c r="F133" s="111"/>
    </row>
    <row r="134" spans="1:6" x14ac:dyDescent="0.25">
      <c r="A134" s="123"/>
      <c r="B134" s="264"/>
      <c r="C134" s="264"/>
      <c r="D134" s="122"/>
      <c r="E134" s="121"/>
      <c r="F134" s="111"/>
    </row>
    <row r="135" spans="1:6" x14ac:dyDescent="0.25">
      <c r="A135" s="123"/>
      <c r="B135" s="264"/>
      <c r="C135" s="264"/>
      <c r="D135" s="122"/>
      <c r="E135" s="121"/>
      <c r="F135" s="111"/>
    </row>
    <row r="136" spans="1:6" x14ac:dyDescent="0.25">
      <c r="A136" s="121"/>
      <c r="B136" s="121"/>
      <c r="C136" s="121"/>
      <c r="D136" s="121"/>
      <c r="E136" s="121"/>
      <c r="F136" s="111"/>
    </row>
    <row r="137" spans="1:6" x14ac:dyDescent="0.25">
      <c r="A137" s="127"/>
      <c r="B137" s="127"/>
      <c r="C137" s="127"/>
      <c r="D137" s="127"/>
      <c r="E137" s="127"/>
      <c r="F137" s="111"/>
    </row>
    <row r="138" spans="1:6" x14ac:dyDescent="0.25">
      <c r="A138" s="123"/>
      <c r="B138" s="264"/>
      <c r="C138" s="264"/>
      <c r="D138" s="122"/>
      <c r="E138" s="121"/>
      <c r="F138" s="111"/>
    </row>
    <row r="139" spans="1:6" x14ac:dyDescent="0.25">
      <c r="A139" s="263"/>
      <c r="B139" s="264"/>
      <c r="C139" s="264"/>
      <c r="D139" s="266"/>
      <c r="E139" s="264"/>
      <c r="F139" s="111"/>
    </row>
    <row r="140" spans="1:6" x14ac:dyDescent="0.25">
      <c r="A140" s="263"/>
      <c r="B140" s="264"/>
      <c r="C140" s="264"/>
      <c r="D140" s="266"/>
      <c r="E140" s="264"/>
      <c r="F140" s="111"/>
    </row>
    <row r="141" spans="1:6" x14ac:dyDescent="0.25">
      <c r="A141" s="263"/>
      <c r="B141" s="264"/>
      <c r="C141" s="264"/>
      <c r="D141" s="120"/>
      <c r="E141" s="121"/>
      <c r="F141" s="111"/>
    </row>
    <row r="142" spans="1:6" x14ac:dyDescent="0.25">
      <c r="A142" s="263"/>
      <c r="B142" s="264"/>
      <c r="C142" s="264"/>
      <c r="D142" s="120"/>
      <c r="E142" s="121"/>
      <c r="F142" s="111"/>
    </row>
    <row r="143" spans="1:6" x14ac:dyDescent="0.25">
      <c r="A143" s="263"/>
      <c r="B143" s="264"/>
      <c r="C143" s="264"/>
      <c r="D143" s="122"/>
      <c r="E143" s="121"/>
      <c r="F143" s="111"/>
    </row>
    <row r="144" spans="1:6" x14ac:dyDescent="0.25">
      <c r="A144" s="263"/>
      <c r="B144" s="264"/>
      <c r="C144" s="264"/>
      <c r="D144" s="121"/>
      <c r="E144" s="121"/>
      <c r="F144" s="111"/>
    </row>
    <row r="145" spans="1:6" x14ac:dyDescent="0.25">
      <c r="A145" s="123"/>
      <c r="B145" s="264"/>
      <c r="C145" s="264"/>
      <c r="D145" s="120"/>
      <c r="E145" s="121"/>
      <c r="F145" s="111"/>
    </row>
    <row r="146" spans="1:6" x14ac:dyDescent="0.25">
      <c r="A146" s="263"/>
      <c r="B146" s="264"/>
      <c r="C146" s="264"/>
      <c r="D146" s="120"/>
      <c r="E146" s="121"/>
      <c r="F146" s="111"/>
    </row>
    <row r="147" spans="1:6" x14ac:dyDescent="0.25">
      <c r="A147" s="263"/>
      <c r="B147" s="264"/>
      <c r="C147" s="264"/>
      <c r="D147" s="122"/>
      <c r="E147" s="121"/>
      <c r="F147" s="111"/>
    </row>
    <row r="148" spans="1:6" x14ac:dyDescent="0.25">
      <c r="A148" s="263"/>
      <c r="B148" s="264"/>
      <c r="C148" s="264"/>
      <c r="D148" s="122"/>
      <c r="E148" s="121"/>
      <c r="F148" s="267"/>
    </row>
    <row r="149" spans="1:6" x14ac:dyDescent="0.25">
      <c r="A149" s="263"/>
      <c r="B149" s="264"/>
      <c r="C149" s="264"/>
      <c r="D149" s="122"/>
      <c r="E149" s="121"/>
      <c r="F149" s="267"/>
    </row>
    <row r="150" spans="1:6" x14ac:dyDescent="0.25">
      <c r="A150" s="263"/>
      <c r="B150" s="264"/>
      <c r="C150" s="264"/>
      <c r="D150" s="120"/>
      <c r="E150" s="121"/>
      <c r="F150" s="114"/>
    </row>
    <row r="151" spans="1:6" x14ac:dyDescent="0.25">
      <c r="A151" s="263"/>
      <c r="B151" s="264"/>
      <c r="C151" s="264"/>
      <c r="D151" s="120"/>
      <c r="E151" s="121"/>
      <c r="F151" s="111"/>
    </row>
    <row r="152" spans="1:6" x14ac:dyDescent="0.25">
      <c r="A152" s="123"/>
      <c r="B152" s="264"/>
      <c r="C152" s="264"/>
      <c r="D152" s="122"/>
      <c r="E152" s="121"/>
      <c r="F152" s="111"/>
    </row>
    <row r="153" spans="1:6" x14ac:dyDescent="0.25">
      <c r="A153" s="123"/>
      <c r="B153" s="264"/>
      <c r="C153" s="264"/>
      <c r="D153" s="122"/>
      <c r="E153" s="121"/>
      <c r="F153" s="111"/>
    </row>
    <row r="154" spans="1:6" x14ac:dyDescent="0.25">
      <c r="A154" s="123"/>
      <c r="B154" s="264"/>
      <c r="C154" s="264"/>
      <c r="D154" s="122"/>
      <c r="E154" s="121"/>
      <c r="F154" s="111"/>
    </row>
    <row r="155" spans="1:6" x14ac:dyDescent="0.25">
      <c r="A155" s="123"/>
      <c r="B155" s="264"/>
      <c r="C155" s="264"/>
      <c r="D155" s="120"/>
      <c r="E155" s="121"/>
      <c r="F155" s="111"/>
    </row>
    <row r="156" spans="1:6" x14ac:dyDescent="0.25">
      <c r="A156" s="263"/>
      <c r="B156" s="264"/>
      <c r="C156" s="264"/>
      <c r="D156" s="120"/>
      <c r="E156" s="121"/>
      <c r="F156" s="111"/>
    </row>
    <row r="157" spans="1:6" x14ac:dyDescent="0.25">
      <c r="A157" s="263"/>
      <c r="B157" s="264"/>
      <c r="C157" s="264"/>
      <c r="D157" s="122"/>
      <c r="E157" s="121"/>
      <c r="F157" s="111"/>
    </row>
    <row r="158" spans="1:6" x14ac:dyDescent="0.25">
      <c r="A158" s="123"/>
      <c r="B158" s="264"/>
      <c r="C158" s="264"/>
      <c r="D158" s="122"/>
      <c r="E158" s="121"/>
      <c r="F158" s="111"/>
    </row>
    <row r="159" spans="1:6" x14ac:dyDescent="0.25">
      <c r="A159" s="123"/>
      <c r="B159" s="264"/>
      <c r="C159" s="264"/>
      <c r="D159" s="122"/>
      <c r="E159" s="121"/>
      <c r="F159" s="111"/>
    </row>
    <row r="160" spans="1:6" x14ac:dyDescent="0.25">
      <c r="A160" s="123"/>
      <c r="B160" s="264"/>
      <c r="C160" s="264"/>
      <c r="D160" s="120"/>
      <c r="E160" s="121"/>
      <c r="F160" s="111"/>
    </row>
    <row r="161" spans="1:6" x14ac:dyDescent="0.25">
      <c r="A161" s="123"/>
      <c r="B161" s="264"/>
      <c r="C161" s="264"/>
      <c r="D161" s="122"/>
      <c r="E161" s="121"/>
      <c r="F161" s="111"/>
    </row>
    <row r="162" spans="1:6" x14ac:dyDescent="0.25">
      <c r="A162" s="123"/>
      <c r="B162" s="264"/>
      <c r="C162" s="264"/>
      <c r="D162" s="122"/>
      <c r="E162" s="121"/>
      <c r="F162" s="111"/>
    </row>
    <row r="163" spans="1:6" x14ac:dyDescent="0.25">
      <c r="A163" s="123"/>
      <c r="B163" s="264"/>
      <c r="C163" s="264"/>
      <c r="D163" s="122"/>
      <c r="E163" s="121"/>
      <c r="F163" s="111"/>
    </row>
    <row r="164" spans="1:6" x14ac:dyDescent="0.25">
      <c r="A164" s="123"/>
      <c r="B164" s="264"/>
      <c r="C164" s="264"/>
      <c r="D164" s="122"/>
      <c r="E164" s="121"/>
      <c r="F164" s="115"/>
    </row>
    <row r="165" spans="1:6" x14ac:dyDescent="0.25">
      <c r="A165" s="263"/>
      <c r="B165" s="264"/>
      <c r="C165" s="264"/>
      <c r="D165" s="122"/>
      <c r="E165" s="121"/>
      <c r="F165" s="111"/>
    </row>
    <row r="166" spans="1:6" x14ac:dyDescent="0.25">
      <c r="A166" s="263"/>
      <c r="B166" s="264"/>
      <c r="C166" s="264"/>
      <c r="D166" s="122"/>
      <c r="E166" s="121"/>
      <c r="F166" s="111"/>
    </row>
    <row r="167" spans="1:6" x14ac:dyDescent="0.25">
      <c r="A167" s="263"/>
      <c r="B167" s="264"/>
      <c r="C167" s="264"/>
      <c r="D167" s="122"/>
      <c r="E167" s="121"/>
      <c r="F167" s="111"/>
    </row>
    <row r="168" spans="1:6" x14ac:dyDescent="0.25">
      <c r="A168" s="263"/>
      <c r="B168" s="264"/>
      <c r="C168" s="264"/>
      <c r="D168" s="122"/>
      <c r="E168" s="121"/>
      <c r="F168" s="111"/>
    </row>
    <row r="169" spans="1:6" x14ac:dyDescent="0.25">
      <c r="A169" s="263"/>
      <c r="B169" s="264"/>
      <c r="C169" s="264"/>
      <c r="D169" s="266"/>
      <c r="E169" s="121"/>
      <c r="F169" s="111"/>
    </row>
    <row r="170" spans="1:6" x14ac:dyDescent="0.25">
      <c r="A170" s="263"/>
      <c r="B170" s="264"/>
      <c r="C170" s="264"/>
      <c r="D170" s="266"/>
      <c r="E170" s="121"/>
      <c r="F170" s="111"/>
    </row>
    <row r="171" spans="1:6" x14ac:dyDescent="0.25">
      <c r="A171" s="263"/>
      <c r="B171" s="264"/>
      <c r="C171" s="264"/>
      <c r="D171" s="120"/>
      <c r="E171" s="121"/>
      <c r="F171" s="111"/>
    </row>
    <row r="172" spans="1:6" x14ac:dyDescent="0.25">
      <c r="A172" s="263"/>
      <c r="B172" s="264"/>
      <c r="C172" s="264"/>
      <c r="D172" s="120"/>
      <c r="E172" s="121"/>
      <c r="F172" s="111"/>
    </row>
    <row r="173" spans="1:6" x14ac:dyDescent="0.25">
      <c r="A173" s="123"/>
      <c r="B173" s="264"/>
      <c r="C173" s="264"/>
      <c r="D173" s="122"/>
      <c r="E173" s="121"/>
      <c r="F173" s="111"/>
    </row>
    <row r="174" spans="1:6" x14ac:dyDescent="0.25">
      <c r="A174" s="123"/>
      <c r="B174" s="264"/>
      <c r="C174" s="264"/>
      <c r="D174" s="122"/>
      <c r="E174" s="121"/>
      <c r="F174" s="111"/>
    </row>
    <row r="175" spans="1:6" x14ac:dyDescent="0.25">
      <c r="A175" s="123"/>
      <c r="B175" s="264"/>
      <c r="C175" s="264"/>
      <c r="D175" s="122"/>
      <c r="E175" s="121"/>
      <c r="F175" s="111"/>
    </row>
    <row r="176" spans="1:6" x14ac:dyDescent="0.25">
      <c r="A176" s="123"/>
      <c r="B176" s="264"/>
      <c r="C176" s="264"/>
      <c r="D176" s="120"/>
      <c r="E176" s="121"/>
      <c r="F176" s="111"/>
    </row>
    <row r="177" spans="1:6" x14ac:dyDescent="0.25">
      <c r="A177" s="126"/>
      <c r="B177" s="126"/>
      <c r="C177" s="126"/>
      <c r="D177" s="126"/>
      <c r="E177" s="126"/>
      <c r="F177" s="111"/>
    </row>
    <row r="178" spans="1:6" x14ac:dyDescent="0.25">
      <c r="A178" s="123"/>
      <c r="B178" s="264"/>
      <c r="C178" s="264"/>
      <c r="D178" s="122"/>
      <c r="E178" s="121"/>
      <c r="F178" s="111"/>
    </row>
    <row r="179" spans="1:6" x14ac:dyDescent="0.25">
      <c r="A179" s="123"/>
      <c r="B179" s="264"/>
      <c r="C179" s="264"/>
      <c r="D179" s="128"/>
      <c r="E179" s="121"/>
      <c r="F179" s="111"/>
    </row>
    <row r="180" spans="1:6" x14ac:dyDescent="0.25">
      <c r="A180" s="123"/>
      <c r="B180" s="264"/>
      <c r="C180" s="264"/>
      <c r="D180" s="122"/>
      <c r="E180" s="121"/>
      <c r="F180" s="111"/>
    </row>
    <row r="181" spans="1:6" x14ac:dyDescent="0.25">
      <c r="A181" s="123"/>
      <c r="B181" s="264"/>
      <c r="C181" s="264"/>
      <c r="D181" s="122"/>
      <c r="E181" s="121"/>
      <c r="F181" s="111"/>
    </row>
    <row r="182" spans="1:6" x14ac:dyDescent="0.25">
      <c r="A182" s="123"/>
      <c r="B182" s="264"/>
      <c r="C182" s="264"/>
      <c r="D182" s="122"/>
      <c r="E182" s="121"/>
      <c r="F182" s="111"/>
    </row>
    <row r="183" spans="1:6" x14ac:dyDescent="0.25">
      <c r="A183" s="123"/>
      <c r="B183" s="264"/>
      <c r="C183" s="264"/>
      <c r="D183" s="122"/>
      <c r="E183" s="121"/>
      <c r="F183" s="111"/>
    </row>
    <row r="184" spans="1:6" x14ac:dyDescent="0.25">
      <c r="A184" s="123"/>
      <c r="B184" s="264"/>
      <c r="C184" s="264"/>
      <c r="D184" s="122"/>
      <c r="E184" s="121"/>
      <c r="F184" s="111"/>
    </row>
    <row r="185" spans="1:6" x14ac:dyDescent="0.25">
      <c r="A185" s="123"/>
      <c r="B185" s="264"/>
      <c r="C185" s="264"/>
      <c r="D185" s="122"/>
      <c r="E185" s="121"/>
      <c r="F185" s="111"/>
    </row>
    <row r="186" spans="1:6" x14ac:dyDescent="0.25">
      <c r="A186" s="123"/>
      <c r="B186" s="264"/>
      <c r="C186" s="264"/>
      <c r="D186" s="122"/>
      <c r="E186" s="121"/>
      <c r="F186" s="111"/>
    </row>
    <row r="187" spans="1:6" x14ac:dyDescent="0.25">
      <c r="A187" s="263"/>
      <c r="B187" s="264"/>
      <c r="C187" s="264"/>
      <c r="D187" s="122"/>
      <c r="E187" s="121"/>
      <c r="F187" s="111"/>
    </row>
    <row r="188" spans="1:6" x14ac:dyDescent="0.25">
      <c r="A188" s="263"/>
      <c r="B188" s="264"/>
      <c r="C188" s="264"/>
      <c r="D188" s="120"/>
      <c r="E188" s="121"/>
      <c r="F188" s="111"/>
    </row>
    <row r="189" spans="1:6" x14ac:dyDescent="0.25">
      <c r="A189" s="263"/>
      <c r="B189" s="264"/>
      <c r="C189" s="264"/>
      <c r="D189" s="120"/>
      <c r="E189" s="121"/>
      <c r="F189" s="111"/>
    </row>
    <row r="190" spans="1:6" x14ac:dyDescent="0.25">
      <c r="A190" s="263"/>
      <c r="B190" s="264"/>
      <c r="C190" s="264"/>
      <c r="D190" s="122"/>
      <c r="E190" s="121"/>
      <c r="F190" s="111"/>
    </row>
    <row r="191" spans="1:6" x14ac:dyDescent="0.25">
      <c r="A191" s="123"/>
      <c r="B191" s="264"/>
      <c r="C191" s="264"/>
      <c r="D191" s="122"/>
      <c r="E191" s="121"/>
      <c r="F191" s="111"/>
    </row>
    <row r="192" spans="1:6" x14ac:dyDescent="0.25">
      <c r="A192" s="263"/>
      <c r="B192" s="264"/>
      <c r="C192" s="264"/>
      <c r="D192" s="120"/>
      <c r="E192" s="121"/>
      <c r="F192" s="111"/>
    </row>
    <row r="193" spans="1:6" x14ac:dyDescent="0.25">
      <c r="A193" s="263"/>
      <c r="B193" s="264"/>
      <c r="C193" s="264"/>
      <c r="D193" s="120"/>
      <c r="E193" s="121"/>
      <c r="F193" s="111"/>
    </row>
    <row r="194" spans="1:6" x14ac:dyDescent="0.25">
      <c r="A194" s="123"/>
      <c r="B194" s="264"/>
      <c r="C194" s="264"/>
      <c r="D194" s="122"/>
      <c r="E194" s="121"/>
      <c r="F194" s="111"/>
    </row>
    <row r="195" spans="1:6" x14ac:dyDescent="0.25">
      <c r="A195" s="123"/>
      <c r="B195" s="264"/>
      <c r="C195" s="264"/>
      <c r="D195" s="120"/>
      <c r="E195" s="121"/>
      <c r="F195" s="267"/>
    </row>
    <row r="196" spans="1:6" x14ac:dyDescent="0.25">
      <c r="A196" s="263"/>
      <c r="B196" s="264"/>
      <c r="C196" s="264"/>
      <c r="D196" s="268"/>
      <c r="E196" s="121"/>
      <c r="F196" s="267"/>
    </row>
    <row r="197" spans="1:6" x14ac:dyDescent="0.25">
      <c r="A197" s="263"/>
      <c r="B197" s="264"/>
      <c r="C197" s="264"/>
      <c r="D197" s="268"/>
      <c r="E197" s="121"/>
      <c r="F197" s="111"/>
    </row>
    <row r="198" spans="1:6" x14ac:dyDescent="0.25">
      <c r="A198" s="123"/>
      <c r="B198" s="264"/>
      <c r="C198" s="264"/>
      <c r="D198" s="122"/>
      <c r="E198" s="121"/>
      <c r="F198" s="111"/>
    </row>
    <row r="199" spans="1:6" x14ac:dyDescent="0.25">
      <c r="A199" s="263"/>
      <c r="B199" s="264"/>
      <c r="C199" s="264"/>
      <c r="D199" s="122"/>
      <c r="E199" s="121"/>
      <c r="F199" s="111"/>
    </row>
    <row r="200" spans="1:6" x14ac:dyDescent="0.25">
      <c r="A200" s="263"/>
      <c r="B200" s="264"/>
      <c r="C200" s="264"/>
      <c r="D200" s="122"/>
      <c r="E200" s="121"/>
      <c r="F200" s="111"/>
    </row>
    <row r="201" spans="1:6" x14ac:dyDescent="0.25">
      <c r="A201" s="123"/>
      <c r="B201" s="264"/>
      <c r="C201" s="264"/>
      <c r="D201" s="121"/>
      <c r="E201" s="121"/>
      <c r="F201" s="111"/>
    </row>
    <row r="202" spans="1:6" x14ac:dyDescent="0.25">
      <c r="A202" s="123"/>
      <c r="B202" s="264"/>
      <c r="C202" s="264"/>
      <c r="D202" s="120"/>
      <c r="E202" s="121"/>
      <c r="F202" s="111"/>
    </row>
    <row r="203" spans="1:6" x14ac:dyDescent="0.25">
      <c r="A203" s="263"/>
      <c r="B203" s="264"/>
      <c r="C203" s="264"/>
      <c r="D203" s="120"/>
      <c r="E203" s="121"/>
      <c r="F203" s="111"/>
    </row>
    <row r="204" spans="1:6" x14ac:dyDescent="0.25">
      <c r="A204" s="263"/>
      <c r="B204" s="264"/>
      <c r="C204" s="264"/>
      <c r="D204" s="122"/>
      <c r="E204" s="121"/>
      <c r="F204" s="111"/>
    </row>
    <row r="205" spans="1:6" x14ac:dyDescent="0.25">
      <c r="A205" s="123"/>
      <c r="B205" s="264"/>
      <c r="C205" s="264"/>
      <c r="D205" s="122"/>
      <c r="E205" s="121"/>
      <c r="F205" s="111"/>
    </row>
    <row r="206" spans="1:6" x14ac:dyDescent="0.25">
      <c r="A206" s="123"/>
      <c r="B206" s="264"/>
      <c r="C206" s="264"/>
      <c r="D206" s="122"/>
      <c r="E206" s="121"/>
      <c r="F206" s="111"/>
    </row>
    <row r="207" spans="1:6" x14ac:dyDescent="0.25">
      <c r="A207" s="263"/>
      <c r="B207" s="264"/>
      <c r="C207" s="264"/>
      <c r="D207" s="122"/>
      <c r="E207" s="121"/>
      <c r="F207" s="111"/>
    </row>
    <row r="208" spans="1:6" x14ac:dyDescent="0.25">
      <c r="A208" s="263"/>
      <c r="B208" s="264"/>
      <c r="C208" s="264"/>
      <c r="D208" s="122"/>
      <c r="E208" s="121"/>
      <c r="F208" s="111"/>
    </row>
    <row r="209" spans="1:6" x14ac:dyDescent="0.25">
      <c r="A209" s="123"/>
      <c r="B209" s="264"/>
      <c r="C209" s="264"/>
      <c r="D209" s="122"/>
      <c r="E209" s="121"/>
      <c r="F209" s="111"/>
    </row>
    <row r="210" spans="1:6" x14ac:dyDescent="0.25">
      <c r="A210" s="123"/>
      <c r="B210" s="264"/>
      <c r="C210" s="264"/>
      <c r="D210" s="122"/>
      <c r="E210" s="121"/>
      <c r="F210" s="111"/>
    </row>
    <row r="211" spans="1:6" x14ac:dyDescent="0.25">
      <c r="A211" s="123"/>
      <c r="B211" s="264"/>
      <c r="C211" s="264"/>
      <c r="D211" s="122"/>
      <c r="E211" s="121"/>
      <c r="F211" s="111"/>
    </row>
    <row r="212" spans="1:6" x14ac:dyDescent="0.25">
      <c r="A212" s="123"/>
      <c r="B212" s="264"/>
      <c r="C212" s="264"/>
      <c r="D212" s="120"/>
      <c r="E212" s="121"/>
      <c r="F212" s="111"/>
    </row>
    <row r="213" spans="1:6" x14ac:dyDescent="0.25">
      <c r="A213" s="263"/>
      <c r="B213" s="264"/>
      <c r="C213" s="264"/>
      <c r="D213" s="120"/>
      <c r="E213" s="121"/>
      <c r="F213" s="111"/>
    </row>
    <row r="214" spans="1:6" x14ac:dyDescent="0.25">
      <c r="A214" s="263"/>
      <c r="B214" s="264"/>
      <c r="C214" s="264"/>
      <c r="D214" s="120"/>
      <c r="E214" s="121"/>
      <c r="F214" s="111"/>
    </row>
    <row r="215" spans="1:6" x14ac:dyDescent="0.25">
      <c r="A215" s="123"/>
      <c r="B215" s="264"/>
      <c r="C215" s="264"/>
      <c r="D215" s="120"/>
      <c r="E215" s="121"/>
      <c r="F215" s="111"/>
    </row>
    <row r="216" spans="1:6" x14ac:dyDescent="0.25">
      <c r="A216" s="123"/>
      <c r="B216" s="264"/>
      <c r="C216" s="264"/>
      <c r="D216" s="122"/>
      <c r="E216" s="121"/>
      <c r="F216" s="111"/>
    </row>
    <row r="217" spans="1:6" x14ac:dyDescent="0.25">
      <c r="A217" s="263"/>
      <c r="B217" s="264"/>
      <c r="C217" s="264"/>
      <c r="D217" s="122"/>
      <c r="E217" s="121"/>
      <c r="F217" s="111"/>
    </row>
    <row r="218" spans="1:6" x14ac:dyDescent="0.25">
      <c r="A218" s="263"/>
      <c r="B218" s="264"/>
      <c r="C218" s="264"/>
      <c r="D218" s="120"/>
      <c r="E218" s="121"/>
      <c r="F218" s="111"/>
    </row>
    <row r="219" spans="1:6" x14ac:dyDescent="0.25">
      <c r="A219" s="126"/>
      <c r="B219" s="126"/>
      <c r="C219" s="126"/>
      <c r="D219" s="126"/>
      <c r="E219" s="126"/>
      <c r="F219" s="111"/>
    </row>
    <row r="220" spans="1:6" x14ac:dyDescent="0.25">
      <c r="A220" s="263"/>
      <c r="B220" s="264"/>
      <c r="C220" s="264"/>
      <c r="D220" s="122"/>
      <c r="E220" s="121"/>
      <c r="F220" s="111"/>
    </row>
    <row r="221" spans="1:6" x14ac:dyDescent="0.25">
      <c r="A221" s="263"/>
      <c r="B221" s="264"/>
      <c r="C221" s="264"/>
      <c r="D221" s="122"/>
      <c r="E221" s="121"/>
      <c r="F221" s="111"/>
    </row>
    <row r="222" spans="1:6" x14ac:dyDescent="0.25">
      <c r="A222" s="263"/>
      <c r="B222" s="264"/>
      <c r="C222" s="264"/>
      <c r="D222" s="120"/>
      <c r="E222" s="121"/>
      <c r="F222" s="116"/>
    </row>
    <row r="223" spans="1:6" x14ac:dyDescent="0.25">
      <c r="A223" s="263"/>
      <c r="B223" s="264"/>
      <c r="C223" s="264"/>
      <c r="D223" s="120"/>
      <c r="E223" s="121"/>
      <c r="F223" s="111"/>
    </row>
    <row r="224" spans="1:6" x14ac:dyDescent="0.25">
      <c r="A224" s="123"/>
      <c r="B224" s="264"/>
      <c r="C224" s="264"/>
      <c r="D224" s="121"/>
      <c r="E224" s="121"/>
      <c r="F224" s="111"/>
    </row>
    <row r="225" spans="1:6" x14ac:dyDescent="0.25">
      <c r="A225" s="123"/>
      <c r="B225" s="264"/>
      <c r="C225" s="264"/>
      <c r="D225" s="122"/>
      <c r="E225" s="121"/>
      <c r="F225" s="111"/>
    </row>
    <row r="226" spans="1:6" x14ac:dyDescent="0.25">
      <c r="A226" s="123"/>
      <c r="B226" s="264"/>
      <c r="C226" s="264"/>
      <c r="D226" s="122"/>
      <c r="E226" s="121"/>
      <c r="F226" s="111"/>
    </row>
    <row r="227" spans="1:6" x14ac:dyDescent="0.25">
      <c r="A227" s="123"/>
      <c r="B227" s="264"/>
      <c r="C227" s="264"/>
      <c r="D227" s="121"/>
      <c r="E227" s="121"/>
      <c r="F227" s="111"/>
    </row>
    <row r="228" spans="1:6" x14ac:dyDescent="0.25">
      <c r="A228" s="263"/>
      <c r="B228" s="264"/>
      <c r="C228" s="264"/>
      <c r="D228" s="120"/>
      <c r="E228" s="121"/>
      <c r="F228" s="111"/>
    </row>
    <row r="229" spans="1:6" x14ac:dyDescent="0.25">
      <c r="A229" s="263"/>
      <c r="B229" s="264"/>
      <c r="C229" s="264"/>
      <c r="D229" s="120"/>
      <c r="E229" s="121"/>
      <c r="F229" s="111"/>
    </row>
    <row r="230" spans="1:6" x14ac:dyDescent="0.25">
      <c r="A230" s="263"/>
      <c r="B230" s="264"/>
      <c r="C230" s="264"/>
      <c r="D230" s="122"/>
      <c r="E230" s="121"/>
      <c r="F230" s="111"/>
    </row>
    <row r="231" spans="1:6" x14ac:dyDescent="0.25">
      <c r="A231" s="263"/>
      <c r="B231" s="264"/>
      <c r="C231" s="264"/>
      <c r="D231" s="122"/>
      <c r="E231" s="121"/>
      <c r="F231" s="111"/>
    </row>
    <row r="232" spans="1:6" x14ac:dyDescent="0.25">
      <c r="A232" s="123"/>
      <c r="B232" s="264"/>
      <c r="C232" s="264"/>
      <c r="D232" s="122"/>
      <c r="E232" s="121"/>
      <c r="F232" s="111"/>
    </row>
    <row r="233" spans="1:6" x14ac:dyDescent="0.25">
      <c r="A233" s="123"/>
      <c r="B233" s="264"/>
      <c r="C233" s="264"/>
      <c r="D233" s="122"/>
      <c r="E233" s="121"/>
      <c r="F233" s="111"/>
    </row>
    <row r="234" spans="1:6" x14ac:dyDescent="0.25">
      <c r="A234" s="123"/>
      <c r="B234" s="264"/>
      <c r="C234" s="264"/>
      <c r="D234" s="120"/>
      <c r="E234" s="121"/>
      <c r="F234" s="111"/>
    </row>
    <row r="235" spans="1:6" x14ac:dyDescent="0.25">
      <c r="A235" s="123"/>
      <c r="B235" s="264"/>
      <c r="C235" s="264"/>
      <c r="D235" s="122"/>
      <c r="E235" s="121"/>
      <c r="F235" s="111"/>
    </row>
    <row r="236" spans="1:6" x14ac:dyDescent="0.25">
      <c r="A236" s="121"/>
      <c r="B236" s="121"/>
      <c r="C236" s="121"/>
      <c r="D236" s="121"/>
      <c r="E236" s="121"/>
      <c r="F236" s="111"/>
    </row>
    <row r="237" spans="1:6" x14ac:dyDescent="0.25">
      <c r="A237" s="122"/>
      <c r="B237" s="122"/>
      <c r="C237" s="122"/>
      <c r="D237" s="122"/>
      <c r="E237" s="122"/>
      <c r="F237" s="111"/>
    </row>
    <row r="238" spans="1:6" x14ac:dyDescent="0.25">
      <c r="A238" s="122"/>
      <c r="B238" s="122"/>
      <c r="C238" s="122"/>
      <c r="D238" s="122"/>
      <c r="E238" s="122"/>
      <c r="F238" s="111"/>
    </row>
    <row r="239" spans="1:6" x14ac:dyDescent="0.25">
      <c r="A239" s="122"/>
      <c r="B239" s="122"/>
      <c r="C239" s="122"/>
      <c r="D239" s="122"/>
      <c r="E239" s="122"/>
      <c r="F239" s="111"/>
    </row>
    <row r="240" spans="1:6" x14ac:dyDescent="0.25">
      <c r="A240" s="121"/>
      <c r="B240" s="121"/>
      <c r="C240" s="121"/>
      <c r="D240" s="121"/>
      <c r="E240" s="121"/>
      <c r="F240" s="111"/>
    </row>
    <row r="241" spans="1:6" x14ac:dyDescent="0.25">
      <c r="A241" s="263"/>
      <c r="B241" s="264"/>
      <c r="C241" s="264"/>
      <c r="D241" s="122"/>
      <c r="E241" s="121"/>
      <c r="F241" s="111"/>
    </row>
    <row r="242" spans="1:6" x14ac:dyDescent="0.25">
      <c r="A242" s="263"/>
      <c r="B242" s="264"/>
      <c r="C242" s="264"/>
      <c r="D242" s="122"/>
      <c r="E242" s="121"/>
      <c r="F242" s="111"/>
    </row>
    <row r="243" spans="1:6" x14ac:dyDescent="0.25">
      <c r="A243" s="263"/>
      <c r="B243" s="264"/>
      <c r="C243" s="264"/>
      <c r="D243" s="120"/>
      <c r="E243" s="121"/>
      <c r="F243" s="111"/>
    </row>
    <row r="244" spans="1:6" x14ac:dyDescent="0.25">
      <c r="A244" s="263"/>
      <c r="B244" s="264"/>
      <c r="C244" s="264"/>
      <c r="D244" s="122"/>
      <c r="E244" s="121"/>
      <c r="F244" s="111"/>
    </row>
    <row r="245" spans="1:6" x14ac:dyDescent="0.25">
      <c r="A245" s="121"/>
      <c r="B245" s="121"/>
      <c r="C245" s="121"/>
      <c r="D245" s="121"/>
      <c r="E245" s="121"/>
      <c r="F245" s="111"/>
    </row>
    <row r="246" spans="1:6" x14ac:dyDescent="0.25">
      <c r="A246" s="121"/>
      <c r="B246" s="121"/>
      <c r="C246" s="121"/>
      <c r="D246" s="121"/>
      <c r="E246" s="121"/>
      <c r="F246" s="111"/>
    </row>
    <row r="247" spans="1:6" x14ac:dyDescent="0.25">
      <c r="A247" s="121"/>
      <c r="B247" s="264"/>
      <c r="C247" s="264"/>
      <c r="D247" s="122"/>
      <c r="E247" s="121"/>
      <c r="F247" s="111"/>
    </row>
    <row r="248" spans="1:6" x14ac:dyDescent="0.25">
      <c r="A248" s="121"/>
      <c r="B248" s="121"/>
      <c r="C248" s="121"/>
      <c r="D248" s="121"/>
      <c r="E248" s="121"/>
      <c r="F248" s="111"/>
    </row>
    <row r="249" spans="1:6" x14ac:dyDescent="0.25">
      <c r="A249" s="121"/>
      <c r="B249" s="121"/>
      <c r="C249" s="121"/>
      <c r="D249" s="121"/>
      <c r="E249" s="121"/>
      <c r="F249" s="111"/>
    </row>
    <row r="250" spans="1:6" x14ac:dyDescent="0.25">
      <c r="A250" s="263"/>
      <c r="B250" s="263"/>
      <c r="C250" s="264"/>
      <c r="D250" s="120"/>
      <c r="E250" s="121"/>
      <c r="F250" s="111"/>
    </row>
    <row r="251" spans="1:6" x14ac:dyDescent="0.25">
      <c r="A251" s="263"/>
      <c r="B251" s="263"/>
      <c r="C251" s="264"/>
      <c r="D251" s="120"/>
      <c r="E251" s="121"/>
      <c r="F251" s="111"/>
    </row>
    <row r="252" spans="1:6" x14ac:dyDescent="0.25">
      <c r="A252" s="263"/>
      <c r="B252" s="263"/>
      <c r="C252" s="264"/>
      <c r="D252" s="122"/>
      <c r="E252" s="121"/>
      <c r="F252" s="267"/>
    </row>
    <row r="253" spans="1:6" x14ac:dyDescent="0.25">
      <c r="A253" s="263"/>
      <c r="B253" s="263"/>
      <c r="C253" s="264"/>
      <c r="D253" s="129"/>
      <c r="E253" s="121"/>
      <c r="F253" s="267"/>
    </row>
    <row r="254" spans="1:6" x14ac:dyDescent="0.25">
      <c r="A254" s="263"/>
      <c r="B254" s="263"/>
      <c r="C254" s="264"/>
      <c r="D254" s="129"/>
      <c r="E254" s="121"/>
      <c r="F254" s="111"/>
    </row>
    <row r="255" spans="1:6" x14ac:dyDescent="0.25">
      <c r="A255" s="263"/>
      <c r="B255" s="263"/>
      <c r="C255" s="264"/>
      <c r="D255" s="122"/>
      <c r="E255" s="121"/>
      <c r="F255" s="111"/>
    </row>
    <row r="256" spans="1:6" x14ac:dyDescent="0.25">
      <c r="A256" s="263"/>
      <c r="B256" s="263"/>
      <c r="C256" s="264"/>
      <c r="D256" s="122"/>
      <c r="E256" s="121"/>
      <c r="F256" s="111"/>
    </row>
    <row r="257" spans="1:6" x14ac:dyDescent="0.25">
      <c r="A257" s="263"/>
      <c r="B257" s="263"/>
      <c r="C257" s="264"/>
      <c r="D257" s="122"/>
      <c r="E257" s="121"/>
      <c r="F257" s="111"/>
    </row>
    <row r="258" spans="1:6" x14ac:dyDescent="0.25">
      <c r="A258" s="263"/>
      <c r="B258" s="263"/>
      <c r="C258" s="121"/>
      <c r="D258" s="130"/>
      <c r="E258" s="121"/>
      <c r="F258" s="111"/>
    </row>
    <row r="259" spans="1:6" x14ac:dyDescent="0.25">
      <c r="A259" s="263"/>
      <c r="B259" s="263"/>
      <c r="C259" s="121"/>
      <c r="D259" s="130"/>
      <c r="E259" s="121"/>
      <c r="F259" s="113"/>
    </row>
    <row r="260" spans="1:6" x14ac:dyDescent="0.25">
      <c r="A260" s="263"/>
      <c r="B260" s="263"/>
      <c r="C260" s="264"/>
      <c r="D260" s="120"/>
      <c r="E260" s="121"/>
      <c r="F260" s="111"/>
    </row>
    <row r="261" spans="1:6" x14ac:dyDescent="0.25">
      <c r="A261" s="263"/>
      <c r="B261" s="263"/>
      <c r="C261" s="264"/>
      <c r="D261" s="120"/>
      <c r="E261" s="121"/>
      <c r="F261" s="111"/>
    </row>
    <row r="262" spans="1:6" x14ac:dyDescent="0.25">
      <c r="A262" s="263"/>
      <c r="B262" s="263"/>
      <c r="C262" s="124"/>
      <c r="D262" s="122"/>
      <c r="E262" s="121"/>
      <c r="F262" s="111"/>
    </row>
    <row r="263" spans="1:6" x14ac:dyDescent="0.25">
      <c r="A263" s="263"/>
      <c r="B263" s="263"/>
      <c r="C263" s="124"/>
      <c r="D263" s="122"/>
      <c r="E263" s="121"/>
      <c r="F263" s="111"/>
    </row>
    <row r="264" spans="1:6" x14ac:dyDescent="0.25">
      <c r="A264" s="263"/>
      <c r="B264" s="263"/>
      <c r="C264" s="124"/>
      <c r="D264" s="122"/>
      <c r="E264" s="121"/>
      <c r="F264" s="111"/>
    </row>
    <row r="265" spans="1:6" x14ac:dyDescent="0.25">
      <c r="A265" s="263"/>
      <c r="B265" s="263"/>
      <c r="C265" s="124"/>
      <c r="D265" s="122"/>
      <c r="E265" s="121"/>
      <c r="F265" s="111"/>
    </row>
    <row r="266" spans="1:6" x14ac:dyDescent="0.25">
      <c r="A266" s="263"/>
      <c r="B266" s="263"/>
      <c r="C266" s="124"/>
      <c r="D266" s="122"/>
      <c r="E266" s="121"/>
      <c r="F266" s="111"/>
    </row>
    <row r="267" spans="1:6" x14ac:dyDescent="0.25">
      <c r="A267" s="263"/>
      <c r="B267" s="263"/>
      <c r="C267" s="264"/>
      <c r="D267" s="122"/>
      <c r="E267" s="121"/>
      <c r="F267" s="111"/>
    </row>
    <row r="268" spans="1:6" x14ac:dyDescent="0.25">
      <c r="A268" s="263"/>
      <c r="B268" s="263"/>
      <c r="C268" s="264"/>
      <c r="D268" s="122"/>
      <c r="E268" s="121"/>
      <c r="F268" s="111"/>
    </row>
    <row r="269" spans="1:6" x14ac:dyDescent="0.25">
      <c r="A269" s="269"/>
      <c r="B269" s="269"/>
      <c r="C269" s="131"/>
      <c r="D269" s="131"/>
      <c r="E269" s="131"/>
      <c r="F269" s="111"/>
    </row>
    <row r="270" spans="1:6" x14ac:dyDescent="0.25">
      <c r="A270" s="263"/>
      <c r="B270" s="263"/>
      <c r="C270" s="124"/>
      <c r="D270" s="122"/>
      <c r="E270" s="121"/>
      <c r="F270" s="111"/>
    </row>
    <row r="271" spans="1:6" x14ac:dyDescent="0.25">
      <c r="A271" s="263"/>
      <c r="B271" s="263"/>
      <c r="C271" s="124"/>
      <c r="D271" s="122"/>
      <c r="E271" s="121"/>
      <c r="F271" s="111"/>
    </row>
    <row r="272" spans="1:6" x14ac:dyDescent="0.25">
      <c r="A272" s="263"/>
      <c r="B272" s="263"/>
      <c r="C272" s="270"/>
      <c r="D272" s="122"/>
      <c r="E272" s="121"/>
      <c r="F272" s="111"/>
    </row>
    <row r="273" spans="1:6" x14ac:dyDescent="0.25">
      <c r="A273" s="263"/>
      <c r="B273" s="263"/>
      <c r="C273" s="270"/>
      <c r="D273" s="120"/>
      <c r="E273" s="121"/>
      <c r="F273" s="111"/>
    </row>
    <row r="274" spans="1:6" x14ac:dyDescent="0.25">
      <c r="A274" s="263"/>
      <c r="B274" s="263"/>
      <c r="C274" s="124"/>
      <c r="D274" s="122"/>
      <c r="E274" s="121"/>
      <c r="F274" s="111"/>
    </row>
    <row r="275" spans="1:6" x14ac:dyDescent="0.25">
      <c r="A275" s="263"/>
      <c r="B275" s="263"/>
      <c r="C275" s="124"/>
      <c r="D275" s="122"/>
      <c r="E275" s="121"/>
      <c r="F275" s="111"/>
    </row>
    <row r="276" spans="1:6" x14ac:dyDescent="0.25">
      <c r="A276" s="263"/>
      <c r="B276" s="263"/>
      <c r="C276" s="124"/>
      <c r="D276" s="122"/>
      <c r="E276" s="121"/>
      <c r="F276" s="111"/>
    </row>
    <row r="277" spans="1:6" x14ac:dyDescent="0.25">
      <c r="A277" s="263"/>
      <c r="B277" s="263"/>
      <c r="C277" s="270"/>
      <c r="D277" s="120"/>
      <c r="E277" s="121"/>
      <c r="F277" s="111"/>
    </row>
    <row r="278" spans="1:6" x14ac:dyDescent="0.25">
      <c r="A278" s="263"/>
      <c r="B278" s="263"/>
      <c r="C278" s="270"/>
      <c r="D278" s="122"/>
      <c r="E278" s="121"/>
      <c r="F278" s="111"/>
    </row>
    <row r="279" spans="1:6" x14ac:dyDescent="0.25">
      <c r="A279" s="263"/>
      <c r="B279" s="263"/>
      <c r="C279" s="124"/>
      <c r="D279" s="120"/>
      <c r="E279" s="121"/>
      <c r="F279" s="111"/>
    </row>
    <row r="280" spans="1:6" x14ac:dyDescent="0.25">
      <c r="A280" s="263"/>
      <c r="B280" s="263"/>
      <c r="C280" s="124"/>
      <c r="D280" s="120"/>
      <c r="E280" s="121"/>
      <c r="F280" s="111"/>
    </row>
    <row r="281" spans="1:6" x14ac:dyDescent="0.25">
      <c r="A281" s="263"/>
      <c r="B281" s="263"/>
      <c r="C281" s="270"/>
      <c r="D281" s="122"/>
      <c r="E281" s="121"/>
      <c r="F281" s="115"/>
    </row>
    <row r="282" spans="1:6" x14ac:dyDescent="0.25">
      <c r="A282" s="263"/>
      <c r="B282" s="263"/>
      <c r="C282" s="270"/>
      <c r="D282" s="122"/>
      <c r="E282" s="121"/>
      <c r="F282" s="111"/>
    </row>
    <row r="283" spans="1:6" x14ac:dyDescent="0.25">
      <c r="A283" s="132"/>
      <c r="B283" s="132"/>
      <c r="C283" s="132"/>
      <c r="D283" s="132"/>
      <c r="E283" s="132"/>
      <c r="F283" s="111"/>
    </row>
    <row r="284" spans="1:6" x14ac:dyDescent="0.25">
      <c r="A284" s="263"/>
      <c r="B284" s="263"/>
      <c r="C284" s="270"/>
      <c r="D284" s="120"/>
      <c r="E284" s="121"/>
      <c r="F284" s="111"/>
    </row>
    <row r="285" spans="1:6" x14ac:dyDescent="0.25">
      <c r="A285" s="263"/>
      <c r="B285" s="263"/>
      <c r="C285" s="270"/>
      <c r="D285" s="122"/>
      <c r="E285" s="121"/>
      <c r="F285" s="111"/>
    </row>
    <row r="286" spans="1:6" x14ac:dyDescent="0.25">
      <c r="A286" s="263"/>
      <c r="B286" s="263"/>
      <c r="C286" s="264"/>
      <c r="D286" s="120"/>
      <c r="E286" s="121"/>
      <c r="F286" s="111"/>
    </row>
    <row r="287" spans="1:6" x14ac:dyDescent="0.25">
      <c r="A287" s="263"/>
      <c r="B287" s="263"/>
      <c r="C287" s="264"/>
      <c r="D287" s="120"/>
      <c r="E287" s="121"/>
      <c r="F287" s="111"/>
    </row>
    <row r="288" spans="1:6" x14ac:dyDescent="0.25">
      <c r="A288" s="263"/>
      <c r="B288" s="263"/>
      <c r="C288" s="121"/>
      <c r="D288" s="122"/>
      <c r="E288" s="121"/>
      <c r="F288" s="111"/>
    </row>
    <row r="289" spans="1:6" x14ac:dyDescent="0.25">
      <c r="A289" s="263"/>
      <c r="B289" s="263"/>
      <c r="C289" s="264"/>
      <c r="D289" s="122"/>
      <c r="E289" s="121"/>
      <c r="F289" s="111"/>
    </row>
    <row r="290" spans="1:6" x14ac:dyDescent="0.25">
      <c r="A290" s="263"/>
      <c r="B290" s="263"/>
      <c r="C290" s="264"/>
      <c r="D290" s="122"/>
      <c r="E290" s="121"/>
      <c r="F290" s="111"/>
    </row>
    <row r="291" spans="1:6" x14ac:dyDescent="0.25">
      <c r="A291" s="263"/>
      <c r="B291" s="263"/>
      <c r="C291" s="121"/>
      <c r="D291" s="122"/>
      <c r="E291" s="121"/>
      <c r="F291" s="111"/>
    </row>
    <row r="292" spans="1:6" x14ac:dyDescent="0.25">
      <c r="A292" s="263"/>
      <c r="B292" s="263"/>
      <c r="C292" s="121"/>
      <c r="D292" s="122"/>
      <c r="E292" s="121"/>
      <c r="F292" s="111"/>
    </row>
    <row r="293" spans="1:6" x14ac:dyDescent="0.25">
      <c r="A293" s="263"/>
      <c r="B293" s="263"/>
      <c r="C293" s="264"/>
      <c r="D293" s="122"/>
      <c r="E293" s="121"/>
      <c r="F293" s="111"/>
    </row>
    <row r="294" spans="1:6" x14ac:dyDescent="0.25">
      <c r="A294" s="263"/>
      <c r="B294" s="263"/>
      <c r="C294" s="264"/>
      <c r="D294" s="122"/>
      <c r="E294" s="121"/>
      <c r="F294" s="111"/>
    </row>
    <row r="295" spans="1:6" x14ac:dyDescent="0.25">
      <c r="A295" s="263"/>
      <c r="B295" s="263"/>
      <c r="C295" s="264"/>
      <c r="D295" s="122"/>
      <c r="E295" s="121"/>
      <c r="F295" s="111"/>
    </row>
    <row r="296" spans="1:6" x14ac:dyDescent="0.25">
      <c r="A296" s="263"/>
      <c r="B296" s="263"/>
      <c r="C296" s="264"/>
      <c r="D296" s="121"/>
      <c r="E296" s="121"/>
      <c r="F296" s="111"/>
    </row>
    <row r="297" spans="1:6" x14ac:dyDescent="0.25">
      <c r="A297" s="263"/>
      <c r="B297" s="263"/>
      <c r="C297" s="121"/>
      <c r="D297" s="122"/>
      <c r="E297" s="121"/>
      <c r="F297" s="111"/>
    </row>
    <row r="298" spans="1:6" x14ac:dyDescent="0.25">
      <c r="A298" s="263"/>
      <c r="B298" s="263"/>
      <c r="C298" s="121"/>
      <c r="D298" s="122"/>
      <c r="E298" s="121"/>
      <c r="F298" s="111"/>
    </row>
    <row r="299" spans="1:6" x14ac:dyDescent="0.25">
      <c r="A299" s="263"/>
      <c r="B299" s="263"/>
      <c r="C299" s="121"/>
      <c r="D299" s="122"/>
      <c r="E299" s="121"/>
      <c r="F299" s="111"/>
    </row>
    <row r="300" spans="1:6" x14ac:dyDescent="0.25">
      <c r="A300" s="263"/>
      <c r="B300" s="263"/>
      <c r="C300" s="121"/>
      <c r="D300" s="122"/>
      <c r="E300" s="121"/>
      <c r="F300" s="111"/>
    </row>
    <row r="301" spans="1:6" x14ac:dyDescent="0.25">
      <c r="A301" s="263"/>
      <c r="B301" s="263"/>
      <c r="C301" s="264"/>
      <c r="D301" s="122"/>
      <c r="E301" s="121"/>
      <c r="F301" s="111"/>
    </row>
    <row r="302" spans="1:6" x14ac:dyDescent="0.25">
      <c r="A302" s="263"/>
      <c r="B302" s="263"/>
      <c r="C302" s="264"/>
      <c r="D302" s="120"/>
      <c r="E302" s="121"/>
      <c r="F302" s="111"/>
    </row>
    <row r="303" spans="1:6" x14ac:dyDescent="0.25">
      <c r="A303" s="263"/>
      <c r="B303" s="263"/>
      <c r="C303" s="264"/>
      <c r="D303" s="122"/>
      <c r="E303" s="121"/>
      <c r="F303" s="111"/>
    </row>
    <row r="304" spans="1:6" x14ac:dyDescent="0.25">
      <c r="A304" s="263"/>
      <c r="B304" s="263"/>
      <c r="C304" s="264"/>
      <c r="D304" s="120"/>
      <c r="E304" s="121"/>
      <c r="F304" s="111"/>
    </row>
    <row r="305" spans="1:6" x14ac:dyDescent="0.25">
      <c r="A305" s="263"/>
      <c r="B305" s="263"/>
      <c r="C305" s="264"/>
      <c r="D305" s="122"/>
      <c r="E305" s="121"/>
      <c r="F305" s="111"/>
    </row>
    <row r="306" spans="1:6" x14ac:dyDescent="0.25">
      <c r="A306" s="263"/>
      <c r="B306" s="263"/>
      <c r="C306" s="264"/>
      <c r="D306" s="121"/>
      <c r="E306" s="121"/>
      <c r="F306" s="111"/>
    </row>
    <row r="307" spans="1:6" x14ac:dyDescent="0.25">
      <c r="A307" s="263"/>
      <c r="B307" s="263"/>
      <c r="C307" s="264"/>
      <c r="D307" s="122"/>
      <c r="E307" s="121"/>
      <c r="F307" s="111"/>
    </row>
    <row r="308" spans="1:6" x14ac:dyDescent="0.25">
      <c r="A308" s="263"/>
      <c r="B308" s="263"/>
      <c r="C308" s="264"/>
      <c r="D308" s="122"/>
      <c r="E308" s="121"/>
      <c r="F308" s="111"/>
    </row>
    <row r="309" spans="1:6" x14ac:dyDescent="0.25">
      <c r="A309" s="263"/>
      <c r="B309" s="263"/>
      <c r="C309" s="121"/>
      <c r="D309" s="122"/>
      <c r="E309" s="121"/>
      <c r="F309" s="111"/>
    </row>
    <row r="310" spans="1:6" x14ac:dyDescent="0.25">
      <c r="A310" s="263"/>
      <c r="B310" s="263"/>
      <c r="C310" s="121"/>
      <c r="D310" s="133"/>
      <c r="E310" s="121"/>
      <c r="F310" s="111"/>
    </row>
    <row r="311" spans="1:6" x14ac:dyDescent="0.25">
      <c r="A311" s="263"/>
      <c r="B311" s="263"/>
      <c r="C311" s="264"/>
      <c r="D311" s="122"/>
      <c r="E311" s="121"/>
      <c r="F311" s="111"/>
    </row>
    <row r="312" spans="1:6" x14ac:dyDescent="0.25">
      <c r="A312" s="263"/>
      <c r="B312" s="263"/>
      <c r="C312" s="264"/>
      <c r="D312" s="122"/>
      <c r="E312" s="121"/>
      <c r="F312" s="111"/>
    </row>
    <row r="313" spans="1:6" x14ac:dyDescent="0.25">
      <c r="A313" s="263"/>
      <c r="B313" s="263"/>
      <c r="C313" s="121"/>
      <c r="D313" s="133"/>
      <c r="E313" s="121"/>
      <c r="F313" s="111"/>
    </row>
    <row r="314" spans="1:6" x14ac:dyDescent="0.25">
      <c r="A314" s="263"/>
      <c r="B314" s="263"/>
      <c r="C314" s="264"/>
      <c r="D314" s="266"/>
      <c r="E314" s="264"/>
      <c r="F314" s="111"/>
    </row>
    <row r="315" spans="1:6" x14ac:dyDescent="0.25">
      <c r="A315" s="263"/>
      <c r="B315" s="263"/>
      <c r="C315" s="264"/>
      <c r="D315" s="266"/>
      <c r="E315" s="264"/>
      <c r="F315" s="111"/>
    </row>
    <row r="316" spans="1:6" x14ac:dyDescent="0.25">
      <c r="A316" s="263"/>
      <c r="B316" s="263"/>
      <c r="C316" s="121"/>
      <c r="D316" s="122"/>
      <c r="E316" s="121"/>
      <c r="F316" s="111"/>
    </row>
    <row r="317" spans="1:6" x14ac:dyDescent="0.25">
      <c r="A317" s="263"/>
      <c r="B317" s="263"/>
      <c r="C317" s="121"/>
      <c r="D317" s="120"/>
      <c r="E317" s="121"/>
      <c r="F317" s="111"/>
    </row>
    <row r="318" spans="1:6" x14ac:dyDescent="0.25">
      <c r="A318" s="263"/>
      <c r="B318" s="263"/>
      <c r="C318" s="121"/>
      <c r="D318" s="122"/>
      <c r="E318" s="121"/>
      <c r="F318" s="111"/>
    </row>
    <row r="319" spans="1:6" x14ac:dyDescent="0.25">
      <c r="A319" s="263"/>
      <c r="B319" s="263"/>
      <c r="C319" s="121"/>
      <c r="D319" s="122"/>
      <c r="E319" s="121"/>
      <c r="F319" s="111"/>
    </row>
    <row r="320" spans="1:6" x14ac:dyDescent="0.25">
      <c r="A320" s="263"/>
      <c r="B320" s="263"/>
      <c r="C320" s="264"/>
      <c r="D320" s="122"/>
      <c r="E320" s="121"/>
      <c r="F320" s="111"/>
    </row>
    <row r="321" spans="1:6" x14ac:dyDescent="0.25">
      <c r="A321" s="263"/>
      <c r="B321" s="263"/>
      <c r="C321" s="264"/>
      <c r="D321" s="122"/>
      <c r="E321" s="121"/>
      <c r="F321" s="111"/>
    </row>
    <row r="322" spans="1:6" x14ac:dyDescent="0.25">
      <c r="A322" s="263"/>
      <c r="B322" s="263"/>
      <c r="C322" s="121"/>
      <c r="D322" s="120"/>
      <c r="E322" s="121"/>
      <c r="F322" s="111"/>
    </row>
    <row r="323" spans="1:6" x14ac:dyDescent="0.25">
      <c r="A323" s="263"/>
      <c r="B323" s="263"/>
      <c r="C323" s="264"/>
      <c r="D323" s="122"/>
      <c r="E323" s="121"/>
      <c r="F323" s="111"/>
    </row>
    <row r="324" spans="1:6" x14ac:dyDescent="0.25">
      <c r="A324" s="263"/>
      <c r="B324" s="263"/>
      <c r="C324" s="264"/>
      <c r="D324" s="122"/>
      <c r="E324" s="121"/>
      <c r="F324" s="111"/>
    </row>
    <row r="325" spans="1:6" x14ac:dyDescent="0.25">
      <c r="A325" s="263"/>
      <c r="B325" s="263"/>
      <c r="C325" s="121"/>
      <c r="D325" s="122"/>
      <c r="E325" s="121"/>
      <c r="F325" s="111"/>
    </row>
    <row r="326" spans="1:6" x14ac:dyDescent="0.25">
      <c r="A326" s="263"/>
      <c r="B326" s="263"/>
      <c r="C326" s="121"/>
      <c r="D326" s="122"/>
      <c r="E326" s="121"/>
      <c r="F326" s="111"/>
    </row>
    <row r="327" spans="1:6" x14ac:dyDescent="0.25">
      <c r="A327" s="263"/>
      <c r="B327" s="263"/>
      <c r="C327" s="121"/>
      <c r="D327" s="122"/>
      <c r="E327" s="121"/>
      <c r="F327" s="111"/>
    </row>
    <row r="328" spans="1:6" x14ac:dyDescent="0.25">
      <c r="A328" s="263"/>
      <c r="B328" s="263"/>
      <c r="C328" s="264"/>
      <c r="D328" s="122"/>
      <c r="E328" s="121"/>
      <c r="F328" s="111"/>
    </row>
    <row r="329" spans="1:6" x14ac:dyDescent="0.25">
      <c r="A329" s="263"/>
      <c r="B329" s="263"/>
      <c r="C329" s="264"/>
      <c r="D329" s="122"/>
      <c r="E329" s="121"/>
      <c r="F329" s="111"/>
    </row>
    <row r="330" spans="1:6" x14ac:dyDescent="0.25">
      <c r="A330" s="263"/>
      <c r="B330" s="263"/>
      <c r="C330" s="121"/>
      <c r="D330" s="122"/>
      <c r="E330" s="121"/>
      <c r="F330" s="111"/>
    </row>
    <row r="331" spans="1:6" x14ac:dyDescent="0.25">
      <c r="A331" s="263"/>
      <c r="B331" s="263"/>
      <c r="C331" s="121"/>
      <c r="D331" s="122"/>
      <c r="E331" s="121"/>
      <c r="F331" s="111"/>
    </row>
    <row r="332" spans="1:6" x14ac:dyDescent="0.25">
      <c r="A332" s="263"/>
      <c r="B332" s="263"/>
      <c r="C332" s="121"/>
      <c r="D332" s="122"/>
      <c r="E332" s="121"/>
      <c r="F332" s="111"/>
    </row>
    <row r="333" spans="1:6" x14ac:dyDescent="0.25">
      <c r="A333" s="263"/>
      <c r="B333" s="263"/>
      <c r="C333" s="121"/>
      <c r="D333" s="122"/>
      <c r="E333" s="121"/>
      <c r="F333" s="111"/>
    </row>
    <row r="334" spans="1:6" x14ac:dyDescent="0.25">
      <c r="A334" s="263"/>
      <c r="B334" s="263"/>
      <c r="C334" s="264"/>
      <c r="D334" s="122"/>
      <c r="E334" s="121"/>
      <c r="F334" s="111"/>
    </row>
    <row r="335" spans="1:6" x14ac:dyDescent="0.25">
      <c r="A335" s="263"/>
      <c r="B335" s="263"/>
      <c r="C335" s="264"/>
      <c r="D335" s="122"/>
      <c r="E335" s="121"/>
      <c r="F335" s="111"/>
    </row>
    <row r="336" spans="1:6" x14ac:dyDescent="0.25">
      <c r="A336" s="263"/>
      <c r="B336" s="263"/>
      <c r="C336" s="121"/>
      <c r="D336" s="122"/>
      <c r="E336" s="121"/>
      <c r="F336" s="111"/>
    </row>
    <row r="337" spans="1:6" x14ac:dyDescent="0.25">
      <c r="A337" s="263"/>
      <c r="B337" s="263"/>
      <c r="C337" s="121"/>
      <c r="D337" s="122"/>
      <c r="E337" s="121"/>
      <c r="F337" s="111"/>
    </row>
    <row r="338" spans="1:6" x14ac:dyDescent="0.25">
      <c r="A338" s="263"/>
      <c r="B338" s="263"/>
      <c r="C338" s="264"/>
      <c r="D338" s="122"/>
      <c r="E338" s="121"/>
      <c r="F338" s="111"/>
    </row>
    <row r="339" spans="1:6" x14ac:dyDescent="0.25">
      <c r="A339" s="263"/>
      <c r="B339" s="263"/>
      <c r="C339" s="264"/>
      <c r="D339" s="122"/>
      <c r="E339" s="121"/>
      <c r="F339" s="111"/>
    </row>
    <row r="340" spans="1:6" x14ac:dyDescent="0.25">
      <c r="A340" s="263"/>
      <c r="B340" s="263"/>
      <c r="C340" s="121"/>
      <c r="D340" s="122"/>
      <c r="E340" s="121"/>
      <c r="F340" s="111"/>
    </row>
    <row r="341" spans="1:6" x14ac:dyDescent="0.25">
      <c r="A341" s="134"/>
      <c r="B341" s="134"/>
      <c r="C341" s="134"/>
      <c r="D341" s="134"/>
      <c r="E341" s="134"/>
      <c r="F341" s="111"/>
    </row>
    <row r="342" spans="1:6" x14ac:dyDescent="0.25">
      <c r="A342" s="263"/>
      <c r="B342" s="263"/>
      <c r="C342" s="121"/>
      <c r="D342" s="120"/>
      <c r="E342" s="121"/>
      <c r="F342" s="111"/>
    </row>
    <row r="343" spans="1:6" x14ac:dyDescent="0.25">
      <c r="A343" s="263"/>
      <c r="B343" s="263"/>
      <c r="C343" s="264"/>
      <c r="D343" s="122"/>
      <c r="E343" s="121"/>
      <c r="F343" s="111"/>
    </row>
    <row r="344" spans="1:6" x14ac:dyDescent="0.25">
      <c r="A344" s="263"/>
      <c r="B344" s="263"/>
      <c r="C344" s="264"/>
      <c r="D344" s="122"/>
      <c r="E344" s="121"/>
      <c r="F344" s="111"/>
    </row>
    <row r="345" spans="1:6" x14ac:dyDescent="0.25">
      <c r="A345" s="263"/>
      <c r="B345" s="263"/>
      <c r="C345" s="121"/>
      <c r="D345" s="120"/>
      <c r="E345" s="121"/>
      <c r="F345" s="111"/>
    </row>
    <row r="346" spans="1:6" x14ac:dyDescent="0.25">
      <c r="A346" s="263"/>
      <c r="B346" s="263"/>
      <c r="C346" s="121"/>
      <c r="D346" s="122"/>
      <c r="E346" s="121"/>
      <c r="F346" s="111"/>
    </row>
    <row r="347" spans="1:6" x14ac:dyDescent="0.25">
      <c r="A347" s="263"/>
      <c r="B347" s="263"/>
      <c r="C347" s="264"/>
      <c r="D347" s="122"/>
      <c r="E347" s="121"/>
      <c r="F347" s="111"/>
    </row>
    <row r="348" spans="1:6" x14ac:dyDescent="0.25">
      <c r="A348" s="263"/>
      <c r="B348" s="263"/>
      <c r="C348" s="264"/>
      <c r="D348" s="122"/>
      <c r="E348" s="121"/>
      <c r="F348" s="111"/>
    </row>
    <row r="349" spans="1:6" x14ac:dyDescent="0.25">
      <c r="A349" s="263"/>
      <c r="B349" s="263"/>
      <c r="C349" s="264"/>
      <c r="D349" s="122"/>
      <c r="E349" s="121"/>
      <c r="F349" s="111"/>
    </row>
    <row r="350" spans="1:6" x14ac:dyDescent="0.25">
      <c r="A350" s="263"/>
      <c r="B350" s="263"/>
      <c r="C350" s="264"/>
      <c r="D350" s="128"/>
      <c r="E350" s="264"/>
      <c r="F350" s="111"/>
    </row>
    <row r="351" spans="1:6" x14ac:dyDescent="0.25">
      <c r="A351" s="263"/>
      <c r="B351" s="263"/>
      <c r="C351" s="264"/>
      <c r="D351" s="128"/>
      <c r="E351" s="264"/>
      <c r="F351" s="111"/>
    </row>
    <row r="352" spans="1:6" x14ac:dyDescent="0.25">
      <c r="A352" s="263"/>
      <c r="B352" s="263"/>
      <c r="C352" s="121"/>
      <c r="D352" s="122"/>
      <c r="E352" s="121"/>
      <c r="F352" s="111"/>
    </row>
    <row r="353" spans="1:6" x14ac:dyDescent="0.25">
      <c r="A353" s="263"/>
      <c r="B353" s="263"/>
      <c r="C353" s="121"/>
      <c r="D353" s="120"/>
      <c r="E353" s="121"/>
      <c r="F353" s="111"/>
    </row>
    <row r="354" spans="1:6" x14ac:dyDescent="0.25">
      <c r="A354" s="263"/>
      <c r="B354" s="263"/>
      <c r="C354" s="264"/>
      <c r="D354" s="120"/>
      <c r="E354" s="121"/>
      <c r="F354" s="111"/>
    </row>
    <row r="355" spans="1:6" x14ac:dyDescent="0.25">
      <c r="A355" s="263"/>
      <c r="B355" s="263"/>
      <c r="C355" s="264"/>
      <c r="D355" s="120"/>
      <c r="E355" s="121"/>
      <c r="F355" s="111"/>
    </row>
    <row r="356" spans="1:6" x14ac:dyDescent="0.25">
      <c r="A356" s="263"/>
      <c r="B356" s="263"/>
      <c r="C356" s="264"/>
      <c r="D356" s="122"/>
      <c r="E356" s="121"/>
      <c r="F356" s="111"/>
    </row>
    <row r="357" spans="1:6" x14ac:dyDescent="0.25">
      <c r="A357" s="263"/>
      <c r="B357" s="263"/>
      <c r="C357" s="121"/>
      <c r="D357" s="122"/>
      <c r="E357" s="121"/>
      <c r="F357" s="111"/>
    </row>
    <row r="358" spans="1:6" x14ac:dyDescent="0.25">
      <c r="A358" s="263"/>
      <c r="B358" s="263"/>
      <c r="C358" s="121"/>
      <c r="D358" s="122"/>
      <c r="E358" s="121"/>
      <c r="F358" s="111"/>
    </row>
    <row r="359" spans="1:6" x14ac:dyDescent="0.25">
      <c r="A359" s="263"/>
      <c r="B359" s="263"/>
      <c r="C359" s="264"/>
      <c r="D359" s="122"/>
      <c r="E359" s="121"/>
      <c r="F359" s="111"/>
    </row>
    <row r="360" spans="1:6" x14ac:dyDescent="0.25">
      <c r="A360" s="263"/>
      <c r="B360" s="263"/>
      <c r="C360" s="264"/>
      <c r="D360" s="120"/>
      <c r="E360" s="121"/>
      <c r="F360" s="109"/>
    </row>
    <row r="361" spans="1:6" x14ac:dyDescent="0.25">
      <c r="A361" s="263"/>
      <c r="B361" s="263"/>
      <c r="C361" s="264"/>
      <c r="D361" s="122"/>
      <c r="E361" s="121"/>
    </row>
    <row r="362" spans="1:6" x14ac:dyDescent="0.25">
      <c r="A362" s="263"/>
      <c r="B362" s="263"/>
      <c r="C362" s="264"/>
      <c r="D362" s="122"/>
      <c r="E362" s="121"/>
    </row>
    <row r="363" spans="1:6" x14ac:dyDescent="0.25">
      <c r="A363" s="263"/>
      <c r="B363" s="263"/>
      <c r="C363" s="264"/>
      <c r="D363" s="122"/>
      <c r="E363" s="121"/>
    </row>
    <row r="364" spans="1:6" x14ac:dyDescent="0.25">
      <c r="A364" s="263"/>
      <c r="B364" s="263"/>
      <c r="C364" s="264"/>
      <c r="D364" s="120"/>
      <c r="E364" s="121"/>
    </row>
    <row r="365" spans="1:6" x14ac:dyDescent="0.25">
      <c r="A365" s="263"/>
      <c r="B365" s="263"/>
      <c r="C365" s="121"/>
      <c r="D365" s="122"/>
      <c r="E365" s="121"/>
    </row>
    <row r="366" spans="1:6" x14ac:dyDescent="0.25">
      <c r="A366" s="263"/>
      <c r="B366" s="263"/>
      <c r="C366" s="121"/>
      <c r="D366" s="120"/>
      <c r="E366" s="121"/>
    </row>
    <row r="367" spans="1:6" x14ac:dyDescent="0.25">
      <c r="A367" s="263"/>
      <c r="B367" s="263"/>
      <c r="C367" s="121"/>
      <c r="D367" s="122"/>
      <c r="E367" s="121"/>
    </row>
    <row r="368" spans="1:6" x14ac:dyDescent="0.25">
      <c r="A368" s="263"/>
      <c r="B368" s="263"/>
      <c r="C368" s="121"/>
      <c r="D368" s="120"/>
      <c r="E368" s="121"/>
    </row>
    <row r="369" spans="1:5" x14ac:dyDescent="0.25">
      <c r="A369" s="263"/>
      <c r="B369" s="263"/>
      <c r="C369" s="264"/>
      <c r="D369" s="120"/>
      <c r="E369" s="121"/>
    </row>
    <row r="370" spans="1:5" x14ac:dyDescent="0.25">
      <c r="A370" s="263"/>
      <c r="B370" s="263"/>
      <c r="C370" s="264"/>
      <c r="D370" s="120"/>
      <c r="E370" s="121"/>
    </row>
    <row r="371" spans="1:5" x14ac:dyDescent="0.25">
      <c r="A371" s="263"/>
      <c r="B371" s="263"/>
      <c r="C371" s="264"/>
      <c r="D371" s="268"/>
      <c r="E371" s="264"/>
    </row>
    <row r="372" spans="1:5" x14ac:dyDescent="0.25">
      <c r="A372" s="263"/>
      <c r="B372" s="263"/>
      <c r="C372" s="264"/>
      <c r="D372" s="268"/>
      <c r="E372" s="264"/>
    </row>
    <row r="373" spans="1:5" x14ac:dyDescent="0.25">
      <c r="A373" s="263"/>
      <c r="B373" s="263"/>
      <c r="C373" s="121"/>
      <c r="D373" s="122"/>
      <c r="E373" s="121"/>
    </row>
    <row r="374" spans="1:5" x14ac:dyDescent="0.25">
      <c r="A374" s="264"/>
      <c r="B374" s="264"/>
      <c r="C374" s="264"/>
      <c r="D374" s="271"/>
      <c r="E374" s="121"/>
    </row>
    <row r="375" spans="1:5" x14ac:dyDescent="0.25">
      <c r="A375" s="264"/>
      <c r="B375" s="264"/>
      <c r="C375" s="264"/>
      <c r="D375" s="271"/>
      <c r="E375" s="121"/>
    </row>
    <row r="376" spans="1:5" x14ac:dyDescent="0.25">
      <c r="A376" s="263"/>
      <c r="B376" s="263"/>
      <c r="C376" s="264"/>
      <c r="D376" s="122"/>
      <c r="E376" s="121"/>
    </row>
    <row r="377" spans="1:5" x14ac:dyDescent="0.25">
      <c r="A377" s="263"/>
      <c r="B377" s="263"/>
      <c r="C377" s="264"/>
      <c r="D377" s="122"/>
      <c r="E377" s="121"/>
    </row>
    <row r="378" spans="1:5" x14ac:dyDescent="0.25">
      <c r="A378" s="126"/>
      <c r="B378" s="126"/>
      <c r="C378" s="126"/>
      <c r="D378" s="126"/>
      <c r="E378" s="126"/>
    </row>
    <row r="379" spans="1:5" x14ac:dyDescent="0.25">
      <c r="A379" s="263"/>
      <c r="B379" s="263"/>
      <c r="C379" s="264"/>
      <c r="D379" s="120"/>
      <c r="E379" s="121"/>
    </row>
    <row r="380" spans="1:5" x14ac:dyDescent="0.25">
      <c r="A380" s="263"/>
      <c r="B380" s="263"/>
      <c r="C380" s="264"/>
      <c r="D380" s="120"/>
      <c r="E380" s="121"/>
    </row>
    <row r="381" spans="1:5" x14ac:dyDescent="0.25">
      <c r="A381" s="263"/>
      <c r="B381" s="263"/>
      <c r="C381" s="264"/>
      <c r="D381" s="122"/>
      <c r="E381" s="121"/>
    </row>
    <row r="382" spans="1:5" x14ac:dyDescent="0.25">
      <c r="A382" s="263"/>
      <c r="B382" s="263"/>
      <c r="C382" s="264"/>
      <c r="D382" s="122"/>
      <c r="E382" s="121"/>
    </row>
    <row r="383" spans="1:5" x14ac:dyDescent="0.25">
      <c r="A383" s="263"/>
      <c r="B383" s="263"/>
      <c r="C383" s="264"/>
      <c r="D383" s="122"/>
      <c r="E383" s="121"/>
    </row>
    <row r="384" spans="1:5" x14ac:dyDescent="0.25">
      <c r="A384" s="263"/>
      <c r="B384" s="263"/>
      <c r="C384" s="121"/>
      <c r="D384" s="122"/>
      <c r="E384" s="121"/>
    </row>
    <row r="385" spans="1:5" x14ac:dyDescent="0.25">
      <c r="A385" s="263"/>
      <c r="B385" s="263"/>
      <c r="C385" s="121"/>
      <c r="D385" s="122"/>
      <c r="E385" s="121"/>
    </row>
    <row r="386" spans="1:5" x14ac:dyDescent="0.25">
      <c r="A386" s="263"/>
      <c r="B386" s="263"/>
      <c r="C386" s="121"/>
      <c r="D386" s="122"/>
      <c r="E386" s="121"/>
    </row>
    <row r="387" spans="1:5" x14ac:dyDescent="0.25">
      <c r="A387" s="263"/>
      <c r="B387" s="263"/>
      <c r="C387" s="121"/>
      <c r="D387" s="122"/>
      <c r="E387" s="121"/>
    </row>
    <row r="388" spans="1:5" x14ac:dyDescent="0.25">
      <c r="A388" s="263"/>
      <c r="B388" s="263"/>
      <c r="C388" s="121"/>
      <c r="D388" s="122"/>
      <c r="E388" s="121"/>
    </row>
    <row r="389" spans="1:5" x14ac:dyDescent="0.25">
      <c r="A389" s="263"/>
      <c r="B389" s="263"/>
      <c r="C389" s="264"/>
      <c r="D389" s="122"/>
      <c r="E389" s="121"/>
    </row>
    <row r="390" spans="1:5" x14ac:dyDescent="0.25">
      <c r="A390" s="263"/>
      <c r="B390" s="263"/>
      <c r="C390" s="264"/>
      <c r="D390" s="122"/>
      <c r="E390" s="121"/>
    </row>
    <row r="391" spans="1:5" x14ac:dyDescent="0.25">
      <c r="A391" s="263"/>
      <c r="B391" s="263"/>
      <c r="C391" s="264"/>
      <c r="D391" s="122"/>
      <c r="E391" s="121"/>
    </row>
    <row r="392" spans="1:5" x14ac:dyDescent="0.25">
      <c r="A392" s="263"/>
      <c r="B392" s="263"/>
      <c r="C392" s="264"/>
      <c r="D392" s="122"/>
      <c r="E392" s="121"/>
    </row>
    <row r="393" spans="1:5" x14ac:dyDescent="0.25">
      <c r="A393" s="263"/>
      <c r="B393" s="263"/>
      <c r="C393" s="264"/>
      <c r="D393" s="121"/>
      <c r="E393" s="121"/>
    </row>
    <row r="394" spans="1:5" x14ac:dyDescent="0.25">
      <c r="A394" s="263"/>
      <c r="B394" s="263"/>
      <c r="C394" s="121"/>
      <c r="D394" s="120"/>
      <c r="E394" s="121"/>
    </row>
    <row r="395" spans="1:5" x14ac:dyDescent="0.25">
      <c r="A395" s="263"/>
      <c r="B395" s="263"/>
      <c r="C395" s="264"/>
      <c r="D395" s="120"/>
      <c r="E395" s="121"/>
    </row>
    <row r="396" spans="1:5" x14ac:dyDescent="0.25">
      <c r="A396" s="263"/>
      <c r="B396" s="263"/>
      <c r="C396" s="264"/>
      <c r="D396" s="121"/>
      <c r="E396" s="121"/>
    </row>
    <row r="397" spans="1:5" x14ac:dyDescent="0.25">
      <c r="A397" s="263"/>
      <c r="B397" s="263"/>
      <c r="C397" s="264"/>
      <c r="D397" s="120"/>
      <c r="E397" s="121"/>
    </row>
    <row r="398" spans="1:5" x14ac:dyDescent="0.25">
      <c r="A398" s="263"/>
      <c r="B398" s="263"/>
      <c r="C398" s="264"/>
      <c r="D398" s="120"/>
      <c r="E398" s="121"/>
    </row>
    <row r="399" spans="1:5" x14ac:dyDescent="0.25">
      <c r="A399" s="263"/>
      <c r="B399" s="263"/>
      <c r="C399" s="121"/>
      <c r="D399" s="122"/>
      <c r="E399" s="121"/>
    </row>
    <row r="400" spans="1:5" x14ac:dyDescent="0.25">
      <c r="A400" s="132"/>
      <c r="B400" s="132"/>
      <c r="C400" s="132"/>
      <c r="D400" s="132"/>
      <c r="E400" s="132"/>
    </row>
    <row r="401" spans="1:5" x14ac:dyDescent="0.25">
      <c r="A401" s="263"/>
      <c r="B401" s="263"/>
      <c r="C401" s="264"/>
      <c r="D401" s="122"/>
      <c r="E401" s="264"/>
    </row>
    <row r="402" spans="1:5" x14ac:dyDescent="0.25">
      <c r="A402" s="263"/>
      <c r="B402" s="263"/>
      <c r="C402" s="264"/>
      <c r="D402" s="122"/>
      <c r="E402" s="264"/>
    </row>
    <row r="403" spans="1:5" x14ac:dyDescent="0.25">
      <c r="A403" s="263"/>
      <c r="B403" s="263"/>
      <c r="C403" s="264"/>
      <c r="D403" s="122"/>
      <c r="E403" s="264"/>
    </row>
    <row r="404" spans="1:5" x14ac:dyDescent="0.25">
      <c r="A404" s="263"/>
      <c r="B404" s="263"/>
      <c r="C404" s="264"/>
      <c r="D404" s="124"/>
      <c r="E404" s="264"/>
    </row>
    <row r="405" spans="1:5" x14ac:dyDescent="0.25">
      <c r="A405" s="263"/>
      <c r="B405" s="263"/>
      <c r="C405" s="121"/>
      <c r="D405" s="122"/>
      <c r="E405" s="121"/>
    </row>
    <row r="406" spans="1:5" x14ac:dyDescent="0.25">
      <c r="A406" s="263"/>
      <c r="B406" s="263"/>
      <c r="C406" s="264"/>
      <c r="D406" s="122"/>
      <c r="E406" s="264"/>
    </row>
    <row r="407" spans="1:5" x14ac:dyDescent="0.25">
      <c r="A407" s="263"/>
      <c r="B407" s="263"/>
      <c r="C407" s="264"/>
      <c r="D407" s="122"/>
      <c r="E407" s="264"/>
    </row>
    <row r="408" spans="1:5" x14ac:dyDescent="0.25">
      <c r="A408" s="263"/>
      <c r="B408" s="263"/>
      <c r="C408" s="264"/>
      <c r="D408" s="122"/>
      <c r="E408" s="264"/>
    </row>
    <row r="409" spans="1:5" x14ac:dyDescent="0.25">
      <c r="A409" s="263"/>
      <c r="B409" s="263"/>
      <c r="C409" s="264"/>
      <c r="D409" s="124"/>
      <c r="E409" s="264"/>
    </row>
    <row r="410" spans="1:5" x14ac:dyDescent="0.25">
      <c r="A410" s="263"/>
      <c r="B410" s="263"/>
      <c r="C410" s="121"/>
      <c r="D410" s="135"/>
      <c r="E410" s="121"/>
    </row>
    <row r="411" spans="1:5" x14ac:dyDescent="0.25">
      <c r="A411" s="263"/>
      <c r="B411" s="263"/>
      <c r="C411" s="264"/>
      <c r="D411" s="120"/>
      <c r="E411" s="121"/>
    </row>
    <row r="412" spans="1:5" x14ac:dyDescent="0.25">
      <c r="A412" s="263"/>
      <c r="B412" s="263"/>
      <c r="C412" s="264"/>
      <c r="D412" s="120"/>
      <c r="E412" s="121"/>
    </row>
    <row r="413" spans="1:5" x14ac:dyDescent="0.25">
      <c r="A413" s="263"/>
      <c r="B413" s="263"/>
      <c r="C413" s="264"/>
      <c r="D413" s="120"/>
      <c r="E413" s="121"/>
    </row>
    <row r="414" spans="1:5" x14ac:dyDescent="0.25">
      <c r="A414" s="263"/>
      <c r="B414" s="263"/>
      <c r="C414" s="264"/>
      <c r="D414" s="120"/>
      <c r="E414" s="121"/>
    </row>
    <row r="415" spans="1:5" x14ac:dyDescent="0.25">
      <c r="A415" s="263"/>
      <c r="B415" s="263"/>
      <c r="C415" s="264"/>
      <c r="D415" s="136"/>
      <c r="E415" s="121"/>
    </row>
    <row r="416" spans="1:5" x14ac:dyDescent="0.25">
      <c r="A416" s="263"/>
      <c r="B416" s="263"/>
      <c r="C416" s="121"/>
      <c r="D416" s="122"/>
      <c r="E416" s="121"/>
    </row>
    <row r="417" spans="1:5" x14ac:dyDescent="0.25">
      <c r="A417" s="263"/>
      <c r="B417" s="263"/>
      <c r="C417" s="121"/>
      <c r="D417" s="122"/>
      <c r="E417" s="121"/>
    </row>
    <row r="418" spans="1:5" x14ac:dyDescent="0.25">
      <c r="A418" s="263"/>
      <c r="B418" s="263"/>
      <c r="C418" s="121"/>
      <c r="D418" s="120"/>
      <c r="E418" s="121"/>
    </row>
    <row r="419" spans="1:5" x14ac:dyDescent="0.25">
      <c r="A419" s="263"/>
      <c r="B419" s="263"/>
      <c r="C419" s="121"/>
      <c r="D419" s="122"/>
      <c r="E419" s="121"/>
    </row>
    <row r="420" spans="1:5" x14ac:dyDescent="0.25">
      <c r="A420" s="263"/>
      <c r="B420" s="263"/>
      <c r="C420" s="264"/>
      <c r="D420" s="120"/>
      <c r="E420" s="121"/>
    </row>
    <row r="421" spans="1:5" x14ac:dyDescent="0.25">
      <c r="A421" s="263"/>
      <c r="B421" s="263"/>
      <c r="C421" s="264"/>
      <c r="D421" s="120"/>
      <c r="E421" s="121"/>
    </row>
    <row r="422" spans="1:5" x14ac:dyDescent="0.25">
      <c r="A422" s="263"/>
      <c r="B422" s="263"/>
      <c r="C422" s="264"/>
      <c r="D422" s="120"/>
      <c r="E422" s="121"/>
    </row>
    <row r="423" spans="1:5" x14ac:dyDescent="0.25">
      <c r="A423" s="263"/>
      <c r="B423" s="263"/>
      <c r="C423" s="264"/>
      <c r="D423" s="120"/>
      <c r="E423" s="121"/>
    </row>
    <row r="424" spans="1:5" x14ac:dyDescent="0.25">
      <c r="A424" s="263"/>
      <c r="B424" s="263"/>
      <c r="C424" s="264"/>
      <c r="D424" s="120"/>
      <c r="E424" s="121"/>
    </row>
    <row r="425" spans="1:5" x14ac:dyDescent="0.25">
      <c r="A425" s="263"/>
      <c r="B425" s="263"/>
      <c r="C425" s="121"/>
      <c r="D425" s="135"/>
      <c r="E425" s="121"/>
    </row>
    <row r="426" spans="1:5" x14ac:dyDescent="0.25">
      <c r="A426" s="263"/>
      <c r="B426" s="263"/>
      <c r="C426" s="264"/>
      <c r="D426" s="120"/>
      <c r="E426" s="121"/>
    </row>
    <row r="427" spans="1:5" x14ac:dyDescent="0.25">
      <c r="A427" s="263"/>
      <c r="B427" s="263"/>
      <c r="C427" s="264"/>
      <c r="D427" s="120"/>
      <c r="E427" s="121"/>
    </row>
    <row r="428" spans="1:5" x14ac:dyDescent="0.25">
      <c r="A428" s="263"/>
      <c r="B428" s="263"/>
      <c r="C428" s="121"/>
      <c r="D428" s="135"/>
      <c r="E428" s="121"/>
    </row>
    <row r="429" spans="1:5" x14ac:dyDescent="0.25">
      <c r="A429" s="263"/>
      <c r="B429" s="263"/>
      <c r="C429" s="264"/>
      <c r="D429" s="122"/>
      <c r="E429" s="121"/>
    </row>
    <row r="430" spans="1:5" x14ac:dyDescent="0.25">
      <c r="A430" s="263"/>
      <c r="B430" s="263"/>
      <c r="C430" s="264"/>
      <c r="D430" s="122"/>
      <c r="E430" s="121"/>
    </row>
    <row r="431" spans="1:5" x14ac:dyDescent="0.25">
      <c r="A431" s="263"/>
      <c r="B431" s="263"/>
      <c r="C431" s="264"/>
      <c r="D431" s="124"/>
      <c r="E431" s="121"/>
    </row>
    <row r="432" spans="1:5" x14ac:dyDescent="0.25">
      <c r="A432" s="264"/>
      <c r="B432" s="264"/>
      <c r="C432" s="121"/>
      <c r="D432" s="121"/>
      <c r="E432" s="121"/>
    </row>
    <row r="433" spans="1:5" x14ac:dyDescent="0.25">
      <c r="A433" s="263"/>
      <c r="B433" s="263"/>
      <c r="C433" s="264"/>
      <c r="D433" s="120"/>
      <c r="E433" s="121"/>
    </row>
    <row r="434" spans="1:5" x14ac:dyDescent="0.25">
      <c r="A434" s="263"/>
      <c r="B434" s="263"/>
      <c r="C434" s="264"/>
      <c r="D434" s="120"/>
      <c r="E434" s="121"/>
    </row>
    <row r="435" spans="1:5" x14ac:dyDescent="0.25">
      <c r="A435" s="263"/>
      <c r="B435" s="263"/>
      <c r="C435" s="264"/>
      <c r="D435" s="122"/>
      <c r="E435" s="121"/>
    </row>
    <row r="436" spans="1:5" x14ac:dyDescent="0.25">
      <c r="A436" s="263"/>
      <c r="B436" s="263"/>
      <c r="C436" s="264"/>
      <c r="D436" s="120"/>
      <c r="E436" s="121"/>
    </row>
    <row r="437" spans="1:5" x14ac:dyDescent="0.25">
      <c r="A437" s="263"/>
      <c r="B437" s="263"/>
      <c r="C437" s="121"/>
      <c r="D437" s="120"/>
      <c r="E437" s="121"/>
    </row>
    <row r="438" spans="1:5" x14ac:dyDescent="0.25">
      <c r="A438" s="263"/>
      <c r="B438" s="263"/>
      <c r="C438" s="121"/>
      <c r="D438" s="120"/>
      <c r="E438" s="121"/>
    </row>
    <row r="439" spans="1:5" x14ac:dyDescent="0.25">
      <c r="A439" s="263"/>
      <c r="B439" s="263"/>
      <c r="C439" s="121"/>
      <c r="D439" s="122"/>
      <c r="E439" s="121"/>
    </row>
    <row r="440" spans="1:5" x14ac:dyDescent="0.25">
      <c r="A440" s="263"/>
      <c r="B440" s="263"/>
      <c r="C440" s="121"/>
      <c r="D440" s="122"/>
      <c r="E440" s="121"/>
    </row>
    <row r="441" spans="1:5" x14ac:dyDescent="0.25">
      <c r="A441" s="263"/>
      <c r="B441" s="263"/>
      <c r="C441" s="121"/>
      <c r="D441" s="122"/>
      <c r="E441" s="121"/>
    </row>
    <row r="442" spans="1:5" x14ac:dyDescent="0.25">
      <c r="A442" s="263"/>
      <c r="B442" s="263"/>
      <c r="C442" s="121"/>
      <c r="D442" s="122"/>
      <c r="E442" s="121"/>
    </row>
    <row r="443" spans="1:5" x14ac:dyDescent="0.25">
      <c r="A443" s="263"/>
      <c r="B443" s="263"/>
      <c r="C443" s="121"/>
      <c r="D443" s="122"/>
      <c r="E443" s="121"/>
    </row>
    <row r="444" spans="1:5" x14ac:dyDescent="0.25">
      <c r="A444" s="263"/>
      <c r="B444" s="263"/>
      <c r="C444" s="264"/>
      <c r="D444" s="122"/>
      <c r="E444" s="264"/>
    </row>
    <row r="445" spans="1:5" x14ac:dyDescent="0.25">
      <c r="A445" s="263"/>
      <c r="B445" s="263"/>
      <c r="C445" s="264"/>
      <c r="D445" s="122"/>
      <c r="E445" s="264"/>
    </row>
    <row r="446" spans="1:5" x14ac:dyDescent="0.25">
      <c r="A446" s="263"/>
      <c r="B446" s="263"/>
      <c r="C446" s="264"/>
      <c r="D446" s="120"/>
      <c r="E446" s="120"/>
    </row>
    <row r="447" spans="1:5" x14ac:dyDescent="0.25">
      <c r="A447" s="263"/>
      <c r="B447" s="263"/>
      <c r="C447" s="264"/>
      <c r="D447" s="120"/>
      <c r="E447" s="120"/>
    </row>
    <row r="448" spans="1:5" x14ac:dyDescent="0.25">
      <c r="A448" s="263"/>
      <c r="B448" s="263"/>
      <c r="C448" s="264"/>
      <c r="D448" s="120"/>
      <c r="E448" s="120"/>
    </row>
    <row r="449" spans="1:5" x14ac:dyDescent="0.25">
      <c r="A449" s="263"/>
      <c r="B449" s="263"/>
      <c r="C449" s="264"/>
      <c r="D449" s="137"/>
      <c r="E449" s="137"/>
    </row>
    <row r="450" spans="1:5" x14ac:dyDescent="0.25">
      <c r="A450" s="263"/>
      <c r="B450" s="263"/>
      <c r="C450" s="264"/>
      <c r="D450" s="120"/>
      <c r="E450" s="121"/>
    </row>
    <row r="451" spans="1:5" x14ac:dyDescent="0.25">
      <c r="A451" s="263"/>
      <c r="B451" s="263"/>
      <c r="C451" s="264"/>
      <c r="D451" s="122"/>
      <c r="E451" s="121"/>
    </row>
    <row r="452" spans="1:5" x14ac:dyDescent="0.25">
      <c r="A452" s="263"/>
      <c r="B452" s="263"/>
      <c r="C452" s="121"/>
      <c r="D452" s="120"/>
      <c r="E452" s="121"/>
    </row>
    <row r="453" spans="1:5" x14ac:dyDescent="0.25">
      <c r="A453" s="263"/>
      <c r="B453" s="263"/>
      <c r="C453" s="264"/>
      <c r="D453" s="120"/>
      <c r="E453" s="121"/>
    </row>
    <row r="454" spans="1:5" x14ac:dyDescent="0.25">
      <c r="A454" s="263"/>
      <c r="B454" s="263"/>
      <c r="C454" s="264"/>
      <c r="D454" s="120"/>
      <c r="E454" s="121"/>
    </row>
    <row r="455" spans="1:5" x14ac:dyDescent="0.25">
      <c r="A455" s="263"/>
      <c r="B455" s="263"/>
      <c r="C455" s="121"/>
      <c r="D455" s="122"/>
      <c r="E455" s="121"/>
    </row>
    <row r="456" spans="1:5" x14ac:dyDescent="0.25">
      <c r="A456" s="263"/>
      <c r="B456" s="263"/>
      <c r="C456" s="121"/>
      <c r="D456" s="122"/>
      <c r="E456" s="121"/>
    </row>
    <row r="457" spans="1:5" x14ac:dyDescent="0.25">
      <c r="A457" s="264"/>
      <c r="B457" s="264"/>
      <c r="C457" s="121"/>
      <c r="D457" s="122"/>
      <c r="E457" s="121"/>
    </row>
    <row r="458" spans="1:5" x14ac:dyDescent="0.25">
      <c r="A458" s="264"/>
      <c r="B458" s="264"/>
      <c r="C458" s="121"/>
      <c r="D458" s="122"/>
      <c r="E458" s="121"/>
    </row>
    <row r="459" spans="1:5" x14ac:dyDescent="0.25">
      <c r="A459" s="264"/>
      <c r="B459" s="264"/>
      <c r="C459" s="121"/>
      <c r="D459" s="122"/>
      <c r="E459" s="121"/>
    </row>
    <row r="460" spans="1:5" x14ac:dyDescent="0.25">
      <c r="A460" s="264"/>
      <c r="B460" s="264"/>
      <c r="C460" s="121"/>
      <c r="D460" s="122"/>
      <c r="E460" s="121"/>
    </row>
    <row r="461" spans="1:5" x14ac:dyDescent="0.25">
      <c r="A461" s="264"/>
      <c r="B461" s="264"/>
      <c r="C461" s="121"/>
      <c r="D461" s="122"/>
      <c r="E461" s="121"/>
    </row>
    <row r="462" spans="1:5" x14ac:dyDescent="0.25">
      <c r="A462" s="264"/>
      <c r="B462" s="264"/>
      <c r="C462" s="121"/>
      <c r="D462" s="122"/>
      <c r="E462" s="121"/>
    </row>
    <row r="463" spans="1:5" x14ac:dyDescent="0.25">
      <c r="A463" s="264"/>
      <c r="B463" s="264"/>
      <c r="C463" s="121"/>
      <c r="D463" s="122"/>
      <c r="E463" s="121"/>
    </row>
    <row r="464" spans="1:5" x14ac:dyDescent="0.25">
      <c r="A464" s="264"/>
      <c r="B464" s="264"/>
      <c r="C464" s="121"/>
      <c r="D464" s="122"/>
      <c r="E464" s="121"/>
    </row>
    <row r="465" spans="1:5" x14ac:dyDescent="0.25">
      <c r="A465" s="264"/>
      <c r="B465" s="264"/>
      <c r="C465" s="121"/>
      <c r="D465" s="122"/>
      <c r="E465" s="121"/>
    </row>
    <row r="466" spans="1:5" x14ac:dyDescent="0.25">
      <c r="A466" s="264"/>
      <c r="B466" s="264"/>
      <c r="C466" s="121"/>
      <c r="D466" s="122"/>
      <c r="E466" s="121"/>
    </row>
    <row r="467" spans="1:5" x14ac:dyDescent="0.25">
      <c r="A467" s="264"/>
      <c r="B467" s="264"/>
      <c r="C467" s="121"/>
      <c r="D467" s="122"/>
      <c r="E467" s="121"/>
    </row>
    <row r="468" spans="1:5" x14ac:dyDescent="0.25">
      <c r="A468" s="264"/>
      <c r="B468" s="264"/>
      <c r="C468" s="121"/>
      <c r="D468" s="122"/>
      <c r="E468" s="121"/>
    </row>
    <row r="469" spans="1:5" x14ac:dyDescent="0.25">
      <c r="A469" s="264"/>
      <c r="B469" s="264"/>
      <c r="C469" s="121"/>
      <c r="D469" s="122"/>
      <c r="E469" s="121"/>
    </row>
    <row r="470" spans="1:5" x14ac:dyDescent="0.25">
      <c r="A470" s="264"/>
      <c r="B470" s="264"/>
      <c r="C470" s="121"/>
      <c r="D470" s="122"/>
      <c r="E470" s="121"/>
    </row>
    <row r="471" spans="1:5" x14ac:dyDescent="0.25">
      <c r="A471" s="264"/>
      <c r="B471" s="264"/>
      <c r="C471" s="121"/>
      <c r="D471" s="122"/>
      <c r="E471" s="121"/>
    </row>
    <row r="472" spans="1:5" x14ac:dyDescent="0.25">
      <c r="A472" s="264"/>
      <c r="B472" s="264"/>
      <c r="C472" s="121"/>
      <c r="D472" s="122"/>
      <c r="E472" s="121"/>
    </row>
    <row r="473" spans="1:5" x14ac:dyDescent="0.25">
      <c r="A473" s="264"/>
      <c r="B473" s="264"/>
      <c r="C473" s="121"/>
      <c r="D473" s="122"/>
      <c r="E473" s="121"/>
    </row>
    <row r="474" spans="1:5" x14ac:dyDescent="0.25">
      <c r="A474" s="264"/>
      <c r="B474" s="264"/>
      <c r="C474" s="121"/>
      <c r="D474" s="122"/>
      <c r="E474" s="121"/>
    </row>
    <row r="475" spans="1:5" x14ac:dyDescent="0.25">
      <c r="A475" s="264"/>
      <c r="B475" s="264"/>
      <c r="C475" s="121"/>
      <c r="D475" s="122"/>
      <c r="E475" s="121"/>
    </row>
    <row r="476" spans="1:5" x14ac:dyDescent="0.25">
      <c r="A476" s="264"/>
      <c r="B476" s="264"/>
      <c r="C476" s="121"/>
      <c r="D476" s="122"/>
      <c r="E476" s="121"/>
    </row>
    <row r="477" spans="1:5" x14ac:dyDescent="0.25">
      <c r="A477" s="264"/>
      <c r="B477" s="264"/>
      <c r="C477" s="121"/>
      <c r="D477" s="122"/>
      <c r="E477" s="121"/>
    </row>
    <row r="478" spans="1:5" x14ac:dyDescent="0.25">
      <c r="A478" s="264"/>
      <c r="B478" s="264"/>
      <c r="C478" s="121"/>
      <c r="D478" s="122"/>
      <c r="E478" s="121"/>
    </row>
    <row r="479" spans="1:5" x14ac:dyDescent="0.25">
      <c r="A479" s="125"/>
      <c r="B479" s="125"/>
      <c r="C479" s="125"/>
      <c r="D479" s="125"/>
      <c r="E479" s="125"/>
    </row>
  </sheetData>
  <mergeCells count="422">
    <mergeCell ref="A476:B476"/>
    <mergeCell ref="A477:B477"/>
    <mergeCell ref="A478:B478"/>
    <mergeCell ref="B48:C48"/>
    <mergeCell ref="A470:B470"/>
    <mergeCell ref="A471:B471"/>
    <mergeCell ref="A472:B472"/>
    <mergeCell ref="A473:B473"/>
    <mergeCell ref="A474:B474"/>
    <mergeCell ref="A475:B475"/>
    <mergeCell ref="A464:B464"/>
    <mergeCell ref="A465:B465"/>
    <mergeCell ref="A466:B466"/>
    <mergeCell ref="A467:B467"/>
    <mergeCell ref="A468:B468"/>
    <mergeCell ref="A469:B469"/>
    <mergeCell ref="A458:B458"/>
    <mergeCell ref="A459:B459"/>
    <mergeCell ref="A460:B460"/>
    <mergeCell ref="A461:B461"/>
    <mergeCell ref="A462:B462"/>
    <mergeCell ref="A463:B463"/>
    <mergeCell ref="A452:B452"/>
    <mergeCell ref="A453:B454"/>
    <mergeCell ref="C453:C454"/>
    <mergeCell ref="A455:B455"/>
    <mergeCell ref="A456:B456"/>
    <mergeCell ref="A457:B457"/>
    <mergeCell ref="C444:C445"/>
    <mergeCell ref="E444:E445"/>
    <mergeCell ref="A446:B449"/>
    <mergeCell ref="C446:C449"/>
    <mergeCell ref="A450:B451"/>
    <mergeCell ref="C450:C451"/>
    <mergeCell ref="A439:B439"/>
    <mergeCell ref="A440:B440"/>
    <mergeCell ref="A441:B441"/>
    <mergeCell ref="A442:B442"/>
    <mergeCell ref="A443:B443"/>
    <mergeCell ref="A444:B445"/>
    <mergeCell ref="A433:B434"/>
    <mergeCell ref="C433:C434"/>
    <mergeCell ref="A435:B436"/>
    <mergeCell ref="C435:C436"/>
    <mergeCell ref="A437:B437"/>
    <mergeCell ref="A438:B438"/>
    <mergeCell ref="A426:B427"/>
    <mergeCell ref="C426:C427"/>
    <mergeCell ref="A428:B428"/>
    <mergeCell ref="A429:B431"/>
    <mergeCell ref="C429:C431"/>
    <mergeCell ref="A432:B432"/>
    <mergeCell ref="A417:B417"/>
    <mergeCell ref="A418:B418"/>
    <mergeCell ref="A419:B419"/>
    <mergeCell ref="A420:B424"/>
    <mergeCell ref="C420:C424"/>
    <mergeCell ref="A425:B425"/>
    <mergeCell ref="A410:B410"/>
    <mergeCell ref="A411:B412"/>
    <mergeCell ref="C411:C412"/>
    <mergeCell ref="A413:B415"/>
    <mergeCell ref="C413:C415"/>
    <mergeCell ref="A416:B416"/>
    <mergeCell ref="A401:B404"/>
    <mergeCell ref="C401:C404"/>
    <mergeCell ref="E401:E404"/>
    <mergeCell ref="A405:B405"/>
    <mergeCell ref="A406:B409"/>
    <mergeCell ref="C406:C409"/>
    <mergeCell ref="E406:E409"/>
    <mergeCell ref="A395:B396"/>
    <mergeCell ref="C395:C396"/>
    <mergeCell ref="A397:B398"/>
    <mergeCell ref="C397:C398"/>
    <mergeCell ref="A399:B399"/>
    <mergeCell ref="A388:B388"/>
    <mergeCell ref="A389:B391"/>
    <mergeCell ref="C389:C391"/>
    <mergeCell ref="A392:B393"/>
    <mergeCell ref="C392:C393"/>
    <mergeCell ref="A394:B394"/>
    <mergeCell ref="A379:B383"/>
    <mergeCell ref="C379:C383"/>
    <mergeCell ref="A384:B384"/>
    <mergeCell ref="A385:B385"/>
    <mergeCell ref="A386:B386"/>
    <mergeCell ref="A387:B387"/>
    <mergeCell ref="A374:B375"/>
    <mergeCell ref="C374:C375"/>
    <mergeCell ref="D374:D375"/>
    <mergeCell ref="A376:B377"/>
    <mergeCell ref="C376:C377"/>
    <mergeCell ref="A371:B372"/>
    <mergeCell ref="C371:C372"/>
    <mergeCell ref="D371:D372"/>
    <mergeCell ref="E371:E372"/>
    <mergeCell ref="F252:F253"/>
    <mergeCell ref="A373:B373"/>
    <mergeCell ref="A365:B365"/>
    <mergeCell ref="A366:B366"/>
    <mergeCell ref="A367:B367"/>
    <mergeCell ref="A368:B368"/>
    <mergeCell ref="A369:B370"/>
    <mergeCell ref="C369:C370"/>
    <mergeCell ref="A359:B360"/>
    <mergeCell ref="C359:C360"/>
    <mergeCell ref="A361:B362"/>
    <mergeCell ref="C361:C362"/>
    <mergeCell ref="A363:B364"/>
    <mergeCell ref="C363:C364"/>
    <mergeCell ref="A352:B352"/>
    <mergeCell ref="A353:B353"/>
    <mergeCell ref="A354:B356"/>
    <mergeCell ref="C354:C356"/>
    <mergeCell ref="A357:B357"/>
    <mergeCell ref="A358:B358"/>
    <mergeCell ref="A346:B346"/>
    <mergeCell ref="A347:B349"/>
    <mergeCell ref="C347:C349"/>
    <mergeCell ref="A350:B351"/>
    <mergeCell ref="C350:C351"/>
    <mergeCell ref="E350:E351"/>
    <mergeCell ref="A340:B340"/>
    <mergeCell ref="A342:B342"/>
    <mergeCell ref="A343:B344"/>
    <mergeCell ref="C343:C344"/>
    <mergeCell ref="A345:B345"/>
    <mergeCell ref="A334:B335"/>
    <mergeCell ref="C334:C335"/>
    <mergeCell ref="A336:B336"/>
    <mergeCell ref="A337:B337"/>
    <mergeCell ref="A338:B339"/>
    <mergeCell ref="C338:C339"/>
    <mergeCell ref="A328:B329"/>
    <mergeCell ref="C328:C329"/>
    <mergeCell ref="A330:B330"/>
    <mergeCell ref="A331:B331"/>
    <mergeCell ref="A332:B332"/>
    <mergeCell ref="A333:B333"/>
    <mergeCell ref="A322:B322"/>
    <mergeCell ref="A323:B324"/>
    <mergeCell ref="C323:C324"/>
    <mergeCell ref="A325:B325"/>
    <mergeCell ref="A326:B326"/>
    <mergeCell ref="A327:B327"/>
    <mergeCell ref="A316:B316"/>
    <mergeCell ref="A317:B317"/>
    <mergeCell ref="A318:B318"/>
    <mergeCell ref="A319:B319"/>
    <mergeCell ref="A320:B321"/>
    <mergeCell ref="C320:C321"/>
    <mergeCell ref="A313:B313"/>
    <mergeCell ref="A314:B315"/>
    <mergeCell ref="C314:C315"/>
    <mergeCell ref="D314:D315"/>
    <mergeCell ref="E314:E315"/>
    <mergeCell ref="F195:F196"/>
    <mergeCell ref="A307:B308"/>
    <mergeCell ref="C307:C308"/>
    <mergeCell ref="A309:B309"/>
    <mergeCell ref="A310:B310"/>
    <mergeCell ref="A311:B312"/>
    <mergeCell ref="C311:C312"/>
    <mergeCell ref="A301:B302"/>
    <mergeCell ref="C301:C302"/>
    <mergeCell ref="A303:B304"/>
    <mergeCell ref="C303:C304"/>
    <mergeCell ref="A305:B306"/>
    <mergeCell ref="C305:C306"/>
    <mergeCell ref="A295:B296"/>
    <mergeCell ref="C295:C296"/>
    <mergeCell ref="A297:B297"/>
    <mergeCell ref="A298:B298"/>
    <mergeCell ref="A299:B299"/>
    <mergeCell ref="A300:B300"/>
    <mergeCell ref="A289:B290"/>
    <mergeCell ref="C289:C290"/>
    <mergeCell ref="A291:B291"/>
    <mergeCell ref="A292:B292"/>
    <mergeCell ref="A293:B294"/>
    <mergeCell ref="C293:C294"/>
    <mergeCell ref="A284:B285"/>
    <mergeCell ref="C284:C285"/>
    <mergeCell ref="A286:B287"/>
    <mergeCell ref="C286:C287"/>
    <mergeCell ref="A288:B288"/>
    <mergeCell ref="A277:B278"/>
    <mergeCell ref="C277:C278"/>
    <mergeCell ref="A279:B279"/>
    <mergeCell ref="A280:B280"/>
    <mergeCell ref="A281:B282"/>
    <mergeCell ref="C281:C282"/>
    <mergeCell ref="A271:B271"/>
    <mergeCell ref="A272:B273"/>
    <mergeCell ref="C272:C273"/>
    <mergeCell ref="A274:B274"/>
    <mergeCell ref="A275:B275"/>
    <mergeCell ref="A276:B276"/>
    <mergeCell ref="A266:B266"/>
    <mergeCell ref="A267:B268"/>
    <mergeCell ref="C267:C268"/>
    <mergeCell ref="F148:F149"/>
    <mergeCell ref="A269:B269"/>
    <mergeCell ref="A270:B270"/>
    <mergeCell ref="A260:B261"/>
    <mergeCell ref="C260:C261"/>
    <mergeCell ref="A262:B262"/>
    <mergeCell ref="A263:B263"/>
    <mergeCell ref="A264:B264"/>
    <mergeCell ref="A265:B265"/>
    <mergeCell ref="A252:B254"/>
    <mergeCell ref="C252:C254"/>
    <mergeCell ref="A255:B257"/>
    <mergeCell ref="C255:C257"/>
    <mergeCell ref="A258:B258"/>
    <mergeCell ref="A259:B259"/>
    <mergeCell ref="B247:C247"/>
    <mergeCell ref="A250:B251"/>
    <mergeCell ref="C250:C251"/>
    <mergeCell ref="A241:A242"/>
    <mergeCell ref="B241:C242"/>
    <mergeCell ref="A243:A244"/>
    <mergeCell ref="B243:C244"/>
    <mergeCell ref="B234:C234"/>
    <mergeCell ref="B235:C235"/>
    <mergeCell ref="A228:A229"/>
    <mergeCell ref="B228:C229"/>
    <mergeCell ref="A230:A231"/>
    <mergeCell ref="B230:C231"/>
    <mergeCell ref="B232:C232"/>
    <mergeCell ref="B233:C233"/>
    <mergeCell ref="A222:A223"/>
    <mergeCell ref="B222:C223"/>
    <mergeCell ref="B224:C224"/>
    <mergeCell ref="B225:C225"/>
    <mergeCell ref="B226:C226"/>
    <mergeCell ref="B227:C227"/>
    <mergeCell ref="B215:C215"/>
    <mergeCell ref="B216:C216"/>
    <mergeCell ref="A217:A218"/>
    <mergeCell ref="B217:C218"/>
    <mergeCell ref="A220:A221"/>
    <mergeCell ref="B220:C221"/>
    <mergeCell ref="B209:C209"/>
    <mergeCell ref="B210:C210"/>
    <mergeCell ref="B211:C211"/>
    <mergeCell ref="B212:C212"/>
    <mergeCell ref="A213:A214"/>
    <mergeCell ref="B213:C214"/>
    <mergeCell ref="A203:A204"/>
    <mergeCell ref="B203:C204"/>
    <mergeCell ref="B205:C205"/>
    <mergeCell ref="B206:C206"/>
    <mergeCell ref="A207:A208"/>
    <mergeCell ref="B207:C208"/>
    <mergeCell ref="D196:D197"/>
    <mergeCell ref="B198:C198"/>
    <mergeCell ref="A199:A200"/>
    <mergeCell ref="B199:C200"/>
    <mergeCell ref="B201:C201"/>
    <mergeCell ref="B202:C202"/>
    <mergeCell ref="B191:C191"/>
    <mergeCell ref="A192:A193"/>
    <mergeCell ref="B192:C193"/>
    <mergeCell ref="B194:C194"/>
    <mergeCell ref="B195:C195"/>
    <mergeCell ref="A196:A197"/>
    <mergeCell ref="B196:C197"/>
    <mergeCell ref="B185:C185"/>
    <mergeCell ref="B186:C186"/>
    <mergeCell ref="A187:A188"/>
    <mergeCell ref="B187:C188"/>
    <mergeCell ref="A189:A190"/>
    <mergeCell ref="B189:C190"/>
    <mergeCell ref="B179:C179"/>
    <mergeCell ref="B180:C180"/>
    <mergeCell ref="B181:C181"/>
    <mergeCell ref="B182:C182"/>
    <mergeCell ref="B183:C183"/>
    <mergeCell ref="B184:C184"/>
    <mergeCell ref="B173:C173"/>
    <mergeCell ref="B174:C174"/>
    <mergeCell ref="B175:C175"/>
    <mergeCell ref="B176:C176"/>
    <mergeCell ref="B178:C178"/>
    <mergeCell ref="A167:A168"/>
    <mergeCell ref="B167:C168"/>
    <mergeCell ref="A169:A170"/>
    <mergeCell ref="B169:C170"/>
    <mergeCell ref="D169:D170"/>
    <mergeCell ref="A171:A172"/>
    <mergeCell ref="B171:C172"/>
    <mergeCell ref="B160:C160"/>
    <mergeCell ref="B161:C161"/>
    <mergeCell ref="B162:C162"/>
    <mergeCell ref="B163:C163"/>
    <mergeCell ref="B164:C164"/>
    <mergeCell ref="A165:A166"/>
    <mergeCell ref="B165:C166"/>
    <mergeCell ref="B154:C154"/>
    <mergeCell ref="B155:C155"/>
    <mergeCell ref="A156:A157"/>
    <mergeCell ref="B156:C157"/>
    <mergeCell ref="B158:C158"/>
    <mergeCell ref="B159:C159"/>
    <mergeCell ref="A148:A149"/>
    <mergeCell ref="B148:C149"/>
    <mergeCell ref="A150:A151"/>
    <mergeCell ref="B150:C151"/>
    <mergeCell ref="B152:C152"/>
    <mergeCell ref="B153:C153"/>
    <mergeCell ref="A141:A142"/>
    <mergeCell ref="B141:C142"/>
    <mergeCell ref="A143:A144"/>
    <mergeCell ref="B143:C144"/>
    <mergeCell ref="B145:C145"/>
    <mergeCell ref="A146:A147"/>
    <mergeCell ref="B146:C147"/>
    <mergeCell ref="B135:C135"/>
    <mergeCell ref="B138:C138"/>
    <mergeCell ref="A139:A140"/>
    <mergeCell ref="B139:C139"/>
    <mergeCell ref="B140:C140"/>
    <mergeCell ref="D139:D140"/>
    <mergeCell ref="E139:E140"/>
    <mergeCell ref="F20:F21"/>
    <mergeCell ref="B130:C130"/>
    <mergeCell ref="B131:C131"/>
    <mergeCell ref="B132:C132"/>
    <mergeCell ref="B133:C133"/>
    <mergeCell ref="B134:C134"/>
    <mergeCell ref="A123:A124"/>
    <mergeCell ref="B123:C124"/>
    <mergeCell ref="A125:A126"/>
    <mergeCell ref="B125:C126"/>
    <mergeCell ref="B127:C127"/>
    <mergeCell ref="A117:A118"/>
    <mergeCell ref="B117:C118"/>
    <mergeCell ref="B119:C119"/>
    <mergeCell ref="B120:C120"/>
    <mergeCell ref="A121:A122"/>
    <mergeCell ref="B121:C122"/>
    <mergeCell ref="B111:C111"/>
    <mergeCell ref="B112:C112"/>
    <mergeCell ref="B113:C113"/>
    <mergeCell ref="B114:C114"/>
    <mergeCell ref="A115:A116"/>
    <mergeCell ref="B115:C116"/>
    <mergeCell ref="B105:C105"/>
    <mergeCell ref="B106:C106"/>
    <mergeCell ref="B107:C107"/>
    <mergeCell ref="B108:C108"/>
    <mergeCell ref="A109:A110"/>
    <mergeCell ref="B109:C110"/>
    <mergeCell ref="A99:A100"/>
    <mergeCell ref="B99:C100"/>
    <mergeCell ref="A101:A102"/>
    <mergeCell ref="B101:C102"/>
    <mergeCell ref="A103:A104"/>
    <mergeCell ref="B103:C104"/>
    <mergeCell ref="B92:C92"/>
    <mergeCell ref="B93:C93"/>
    <mergeCell ref="B94:C94"/>
    <mergeCell ref="A95:A96"/>
    <mergeCell ref="B95:C96"/>
    <mergeCell ref="B97:C97"/>
    <mergeCell ref="B85:C85"/>
    <mergeCell ref="A86:A87"/>
    <mergeCell ref="B86:C87"/>
    <mergeCell ref="A88:A89"/>
    <mergeCell ref="B88:C89"/>
    <mergeCell ref="A90:A91"/>
    <mergeCell ref="B90:C91"/>
    <mergeCell ref="B79:C79"/>
    <mergeCell ref="B80:C80"/>
    <mergeCell ref="B81:C81"/>
    <mergeCell ref="B82:C82"/>
    <mergeCell ref="B83:C83"/>
    <mergeCell ref="B84:C84"/>
    <mergeCell ref="B73:C73"/>
    <mergeCell ref="B74:C74"/>
    <mergeCell ref="B75:C75"/>
    <mergeCell ref="B76:C76"/>
    <mergeCell ref="B77:C77"/>
    <mergeCell ref="B78:C78"/>
    <mergeCell ref="B67:C67"/>
    <mergeCell ref="B68:C68"/>
    <mergeCell ref="B69:C69"/>
    <mergeCell ref="B70:C70"/>
    <mergeCell ref="B71:C71"/>
    <mergeCell ref="B72:C72"/>
    <mergeCell ref="B61:C61"/>
    <mergeCell ref="A62:A63"/>
    <mergeCell ref="B62:C63"/>
    <mergeCell ref="B64:C64"/>
    <mergeCell ref="B65:C65"/>
    <mergeCell ref="B66:C66"/>
    <mergeCell ref="B55:C55"/>
    <mergeCell ref="B56:C56"/>
    <mergeCell ref="B57:C57"/>
    <mergeCell ref="B58:C58"/>
    <mergeCell ref="B59:C59"/>
    <mergeCell ref="B60:C60"/>
    <mergeCell ref="B49:C49"/>
    <mergeCell ref="B50:C50"/>
    <mergeCell ref="B51:C51"/>
    <mergeCell ref="B52:C52"/>
    <mergeCell ref="A1:N1"/>
    <mergeCell ref="A12:K12"/>
    <mergeCell ref="A13:A14"/>
    <mergeCell ref="B13:K13"/>
    <mergeCell ref="A53:A54"/>
    <mergeCell ref="B53:C54"/>
    <mergeCell ref="A33:A34"/>
    <mergeCell ref="B33:B34"/>
    <mergeCell ref="A36:E36"/>
    <mergeCell ref="A41:A42"/>
    <mergeCell ref="B41:B42"/>
    <mergeCell ref="A29:A30"/>
    <mergeCell ref="B29:B30"/>
    <mergeCell ref="A2:N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G22"/>
  <sheetViews>
    <sheetView showGridLines="0" showRowColHeaders="0" zoomScale="70" zoomScaleNormal="70" workbookViewId="0"/>
  </sheetViews>
  <sheetFormatPr baseColWidth="10" defaultRowHeight="15" x14ac:dyDescent="0.25"/>
  <cols>
    <col min="1" max="16384" width="11.42578125" style="25"/>
  </cols>
  <sheetData>
    <row r="1" spans="1:33" ht="15.75" thickBot="1" x14ac:dyDescent="0.3">
      <c r="A1" s="36"/>
      <c r="B1" s="36"/>
      <c r="C1" s="36"/>
      <c r="D1" s="36"/>
      <c r="E1" s="36"/>
      <c r="F1" s="36"/>
      <c r="G1" s="36"/>
      <c r="H1" s="36"/>
      <c r="I1" s="138"/>
      <c r="J1" s="138"/>
      <c r="K1" s="138"/>
      <c r="L1" s="138"/>
      <c r="M1" s="32"/>
      <c r="N1" s="32"/>
      <c r="O1" s="32"/>
      <c r="P1" s="36"/>
      <c r="Q1" s="36"/>
      <c r="R1" s="36"/>
      <c r="S1" s="36"/>
      <c r="T1" s="36"/>
      <c r="U1" s="138"/>
      <c r="V1" s="138"/>
      <c r="W1" s="138"/>
      <c r="X1" s="138"/>
      <c r="Y1" s="36"/>
      <c r="Z1" s="36"/>
      <c r="AA1" s="36"/>
      <c r="AB1" s="36"/>
      <c r="AC1" s="36"/>
      <c r="AD1" s="36"/>
      <c r="AE1" s="36"/>
      <c r="AF1" s="36"/>
      <c r="AG1" s="36"/>
    </row>
    <row r="2" spans="1:33" ht="27.75" thickTop="1" thickBot="1" x14ac:dyDescent="0.3">
      <c r="A2" s="36"/>
      <c r="B2" s="139"/>
      <c r="C2" s="140"/>
      <c r="D2" s="140"/>
      <c r="E2" s="140"/>
      <c r="F2" s="140"/>
      <c r="G2" s="140"/>
      <c r="H2" s="141"/>
      <c r="I2" s="286" t="s">
        <v>202</v>
      </c>
      <c r="J2" s="287"/>
      <c r="K2" s="142">
        <v>1</v>
      </c>
      <c r="L2" s="143"/>
      <c r="M2" s="144"/>
      <c r="N2" s="138"/>
      <c r="O2" s="32"/>
      <c r="P2" s="36"/>
      <c r="Q2" s="36"/>
      <c r="R2" s="36"/>
      <c r="S2" s="36"/>
      <c r="T2" s="145"/>
      <c r="U2" s="146"/>
      <c r="V2" s="283"/>
      <c r="W2" s="281"/>
      <c r="X2" s="290"/>
      <c r="Y2" s="36"/>
      <c r="Z2" s="36"/>
      <c r="AA2" s="147"/>
      <c r="AB2" s="148"/>
      <c r="AC2" s="149"/>
      <c r="AD2" s="138"/>
      <c r="AE2" s="138"/>
      <c r="AF2" s="36"/>
      <c r="AG2" s="36"/>
    </row>
    <row r="3" spans="1:33" ht="27.75" thickTop="1" thickBot="1" x14ac:dyDescent="0.3">
      <c r="A3" s="36"/>
      <c r="B3" s="150"/>
      <c r="C3" s="32"/>
      <c r="D3" s="32"/>
      <c r="E3" s="32"/>
      <c r="F3" s="32"/>
      <c r="G3" s="32"/>
      <c r="H3" s="151"/>
      <c r="I3" s="292" t="s">
        <v>202</v>
      </c>
      <c r="J3" s="293"/>
      <c r="K3" s="142">
        <v>2</v>
      </c>
      <c r="L3" s="36"/>
      <c r="M3" s="36"/>
      <c r="N3" s="36"/>
      <c r="O3" s="152"/>
      <c r="P3" s="36"/>
      <c r="Q3" s="36"/>
      <c r="R3" s="36"/>
      <c r="S3" s="151"/>
      <c r="T3" s="153"/>
      <c r="U3" s="154"/>
      <c r="V3" s="288"/>
      <c r="W3" s="289"/>
      <c r="X3" s="291"/>
      <c r="Y3" s="36"/>
      <c r="Z3" s="143"/>
      <c r="AA3" s="284" t="s">
        <v>203</v>
      </c>
      <c r="AB3" s="285"/>
      <c r="AC3" s="36"/>
      <c r="AD3" s="36"/>
      <c r="AE3" s="36"/>
      <c r="AF3" s="144"/>
      <c r="AG3" s="36"/>
    </row>
    <row r="4" spans="1:33" ht="27.75" thickTop="1" thickBot="1" x14ac:dyDescent="0.3">
      <c r="A4" s="36"/>
      <c r="B4" s="150"/>
      <c r="C4" s="32"/>
      <c r="D4" s="32"/>
      <c r="E4" s="32"/>
      <c r="F4" s="32"/>
      <c r="G4" s="32"/>
      <c r="H4" s="151"/>
      <c r="I4" s="292" t="s">
        <v>202</v>
      </c>
      <c r="J4" s="293"/>
      <c r="K4" s="142">
        <v>3</v>
      </c>
      <c r="L4" s="143">
        <v>10</v>
      </c>
      <c r="M4" s="294" t="s">
        <v>204</v>
      </c>
      <c r="N4" s="295"/>
      <c r="O4" s="296"/>
      <c r="P4" s="155"/>
      <c r="Q4" s="36"/>
      <c r="R4" s="36"/>
      <c r="S4" s="151"/>
      <c r="T4" s="36"/>
      <c r="U4" s="36"/>
      <c r="V4" s="297" t="s">
        <v>205</v>
      </c>
      <c r="W4" s="297"/>
      <c r="X4" s="151"/>
      <c r="Y4" s="36"/>
      <c r="Z4" s="143"/>
      <c r="AA4" s="298" t="s">
        <v>206</v>
      </c>
      <c r="AB4" s="299"/>
      <c r="AC4" s="139"/>
      <c r="AD4" s="140"/>
      <c r="AE4" s="141"/>
      <c r="AF4" s="36"/>
      <c r="AG4" s="36"/>
    </row>
    <row r="5" spans="1:33" ht="27.75" thickTop="1" thickBot="1" x14ac:dyDescent="0.3">
      <c r="A5" s="36"/>
      <c r="B5" s="150"/>
      <c r="C5" s="32"/>
      <c r="D5" s="32"/>
      <c r="E5" s="32"/>
      <c r="F5" s="32"/>
      <c r="G5" s="156"/>
      <c r="H5" s="151"/>
      <c r="I5" s="292" t="s">
        <v>202</v>
      </c>
      <c r="J5" s="293"/>
      <c r="K5" s="142">
        <v>4</v>
      </c>
      <c r="L5" s="36"/>
      <c r="M5" s="143">
        <v>11</v>
      </c>
      <c r="N5" s="284"/>
      <c r="O5" s="300"/>
      <c r="P5" s="285"/>
      <c r="Q5" s="138"/>
      <c r="R5" s="36"/>
      <c r="S5" s="151"/>
      <c r="T5" s="36"/>
      <c r="U5" s="36"/>
      <c r="V5" s="36"/>
      <c r="W5" s="36"/>
      <c r="X5" s="151"/>
      <c r="Y5" s="36"/>
      <c r="Z5" s="36"/>
      <c r="AA5" s="157"/>
      <c r="AB5" s="153"/>
      <c r="AC5" s="150"/>
      <c r="AD5" s="32"/>
      <c r="AE5" s="151"/>
      <c r="AF5" s="36"/>
      <c r="AG5" s="36"/>
    </row>
    <row r="6" spans="1:33" ht="27" thickTop="1" x14ac:dyDescent="0.25">
      <c r="A6" s="36"/>
      <c r="B6" s="150"/>
      <c r="C6" s="32"/>
      <c r="D6" s="32"/>
      <c r="E6" s="32"/>
      <c r="F6" s="32"/>
      <c r="G6" s="32"/>
      <c r="H6" s="151"/>
      <c r="I6" s="292" t="s">
        <v>202</v>
      </c>
      <c r="J6" s="293"/>
      <c r="K6" s="142">
        <v>5</v>
      </c>
      <c r="L6" s="36"/>
      <c r="M6" s="36"/>
      <c r="N6" s="143">
        <v>12</v>
      </c>
      <c r="O6" s="284" t="s">
        <v>207</v>
      </c>
      <c r="P6" s="300"/>
      <c r="Q6" s="285"/>
      <c r="R6" s="36"/>
      <c r="S6" s="151"/>
      <c r="T6" s="36"/>
      <c r="U6" s="139"/>
      <c r="V6" s="140"/>
      <c r="W6" s="140"/>
      <c r="X6" s="141"/>
      <c r="Y6" s="36"/>
      <c r="Z6" s="36"/>
      <c r="AA6" s="157"/>
      <c r="AB6" s="153"/>
      <c r="AC6" s="150"/>
      <c r="AD6" s="32"/>
      <c r="AE6" s="151"/>
      <c r="AF6" s="36"/>
      <c r="AG6" s="36"/>
    </row>
    <row r="7" spans="1:33" ht="27" thickBot="1" x14ac:dyDescent="0.3">
      <c r="A7" s="36"/>
      <c r="B7" s="150"/>
      <c r="C7" s="32"/>
      <c r="D7" s="32"/>
      <c r="E7" s="32"/>
      <c r="F7" s="32"/>
      <c r="G7" s="32"/>
      <c r="H7" s="151"/>
      <c r="I7" s="292" t="s">
        <v>202</v>
      </c>
      <c r="J7" s="293"/>
      <c r="K7" s="142">
        <v>6</v>
      </c>
      <c r="L7" s="36"/>
      <c r="M7" s="36"/>
      <c r="N7" s="143">
        <v>13</v>
      </c>
      <c r="O7" s="293"/>
      <c r="P7" s="293"/>
      <c r="Q7" s="301"/>
      <c r="R7" s="36"/>
      <c r="S7" s="151"/>
      <c r="T7" s="36"/>
      <c r="U7" s="150"/>
      <c r="V7" s="32"/>
      <c r="W7" s="32"/>
      <c r="X7" s="151"/>
      <c r="Y7" s="36"/>
      <c r="Z7" s="36"/>
      <c r="AA7" s="157"/>
      <c r="AB7" s="153"/>
      <c r="AC7" s="150"/>
      <c r="AD7" s="32"/>
      <c r="AE7" s="151"/>
      <c r="AF7" s="36"/>
      <c r="AG7" s="36"/>
    </row>
    <row r="8" spans="1:33" ht="27" thickTop="1" x14ac:dyDescent="0.25">
      <c r="A8" s="36"/>
      <c r="B8" s="150"/>
      <c r="C8" s="32"/>
      <c r="D8" s="32"/>
      <c r="E8" s="32"/>
      <c r="F8" s="32"/>
      <c r="G8" s="139"/>
      <c r="H8" s="141"/>
      <c r="I8" s="292" t="s">
        <v>202</v>
      </c>
      <c r="J8" s="293"/>
      <c r="K8" s="142">
        <v>7</v>
      </c>
      <c r="L8" s="36"/>
      <c r="M8" s="36"/>
      <c r="N8" s="143">
        <v>14</v>
      </c>
      <c r="O8" s="293" t="s">
        <v>208</v>
      </c>
      <c r="P8" s="293"/>
      <c r="Q8" s="301"/>
      <c r="R8" s="36"/>
      <c r="S8" s="151"/>
      <c r="T8" s="36"/>
      <c r="U8" s="150"/>
      <c r="V8" s="32"/>
      <c r="W8" s="32"/>
      <c r="X8" s="151"/>
      <c r="Y8" s="36"/>
      <c r="Z8" s="151"/>
      <c r="AA8" s="153"/>
      <c r="AB8" s="153"/>
      <c r="AC8" s="150"/>
      <c r="AD8" s="32"/>
      <c r="AE8" s="151"/>
      <c r="AF8" s="36"/>
      <c r="AG8" s="36"/>
    </row>
    <row r="9" spans="1:33" ht="36" x14ac:dyDescent="0.25">
      <c r="A9" s="36"/>
      <c r="B9" s="150"/>
      <c r="C9" s="32"/>
      <c r="D9" s="36"/>
      <c r="E9" s="158" t="s">
        <v>209</v>
      </c>
      <c r="F9" s="32"/>
      <c r="G9" s="150"/>
      <c r="H9" s="151"/>
      <c r="I9" s="292" t="s">
        <v>202</v>
      </c>
      <c r="J9" s="293"/>
      <c r="K9" s="142">
        <v>8</v>
      </c>
      <c r="L9" s="36"/>
      <c r="M9" s="36"/>
      <c r="N9" s="143">
        <v>15</v>
      </c>
      <c r="O9" s="293" t="s">
        <v>210</v>
      </c>
      <c r="P9" s="293"/>
      <c r="Q9" s="301"/>
      <c r="R9" s="36"/>
      <c r="S9" s="151"/>
      <c r="T9" s="36"/>
      <c r="U9" s="150"/>
      <c r="V9" s="32"/>
      <c r="W9" s="32"/>
      <c r="X9" s="151"/>
      <c r="Y9" s="36"/>
      <c r="Z9" s="151"/>
      <c r="AA9" s="153"/>
      <c r="AB9" s="153"/>
      <c r="AC9" s="150"/>
      <c r="AD9" s="32"/>
      <c r="AE9" s="151"/>
      <c r="AF9" s="36"/>
      <c r="AG9" s="36"/>
    </row>
    <row r="10" spans="1:33" ht="27" thickBot="1" x14ac:dyDescent="0.3">
      <c r="A10" s="36"/>
      <c r="B10" s="159"/>
      <c r="C10" s="138"/>
      <c r="D10" s="138"/>
      <c r="E10" s="138"/>
      <c r="F10" s="138"/>
      <c r="G10" s="159"/>
      <c r="H10" s="145"/>
      <c r="I10" s="292" t="s">
        <v>211</v>
      </c>
      <c r="J10" s="293"/>
      <c r="K10" s="142">
        <v>9</v>
      </c>
      <c r="L10" s="36"/>
      <c r="M10" s="36"/>
      <c r="N10" s="143">
        <v>16</v>
      </c>
      <c r="O10" s="293" t="s">
        <v>212</v>
      </c>
      <c r="P10" s="293"/>
      <c r="Q10" s="301"/>
      <c r="R10" s="36"/>
      <c r="S10" s="151"/>
      <c r="T10" s="36"/>
      <c r="U10" s="150"/>
      <c r="V10" s="32"/>
      <c r="W10" s="32"/>
      <c r="X10" s="151"/>
      <c r="Y10" s="36"/>
      <c r="Z10" s="151"/>
      <c r="AA10" s="160"/>
      <c r="AB10" s="153"/>
      <c r="AC10" s="150"/>
      <c r="AD10" s="161" t="s">
        <v>213</v>
      </c>
      <c r="AE10" s="151"/>
      <c r="AF10" s="36"/>
      <c r="AG10" s="36"/>
    </row>
    <row r="11" spans="1:33" ht="27" thickTop="1" x14ac:dyDescent="0.25">
      <c r="A11" s="36"/>
      <c r="B11" s="139"/>
      <c r="C11" s="141"/>
      <c r="D11" s="32"/>
      <c r="E11" s="32"/>
      <c r="F11" s="32"/>
      <c r="G11" s="32"/>
      <c r="H11" s="32"/>
      <c r="I11" s="162"/>
      <c r="J11" s="162"/>
      <c r="K11" s="162"/>
      <c r="L11" s="36"/>
      <c r="M11" s="36"/>
      <c r="N11" s="36"/>
      <c r="O11" s="162"/>
      <c r="P11" s="162"/>
      <c r="Q11" s="163"/>
      <c r="R11" s="36"/>
      <c r="S11" s="151"/>
      <c r="T11" s="36"/>
      <c r="U11" s="150"/>
      <c r="V11" s="164" t="s">
        <v>214</v>
      </c>
      <c r="W11" s="164"/>
      <c r="X11" s="151"/>
      <c r="Y11" s="36"/>
      <c r="Z11" s="151"/>
      <c r="AA11" s="160"/>
      <c r="AB11" s="153"/>
      <c r="AC11" s="150"/>
      <c r="AD11" s="161" t="s">
        <v>215</v>
      </c>
      <c r="AE11" s="151"/>
      <c r="AF11" s="36"/>
      <c r="AG11" s="36"/>
    </row>
    <row r="12" spans="1:33" ht="54" customHeight="1" thickBot="1" x14ac:dyDescent="0.35">
      <c r="A12" s="36"/>
      <c r="B12" s="150"/>
      <c r="C12" s="151"/>
      <c r="D12" s="36"/>
      <c r="E12" s="165">
        <v>27</v>
      </c>
      <c r="F12" s="165">
        <v>26</v>
      </c>
      <c r="G12" s="165">
        <v>25</v>
      </c>
      <c r="H12" s="165">
        <v>24</v>
      </c>
      <c r="I12" s="165">
        <v>23</v>
      </c>
      <c r="J12" s="165">
        <v>22</v>
      </c>
      <c r="K12" s="165">
        <v>21</v>
      </c>
      <c r="L12" s="165">
        <v>20</v>
      </c>
      <c r="M12" s="302">
        <v>19</v>
      </c>
      <c r="N12" s="302"/>
      <c r="O12" s="165">
        <v>18</v>
      </c>
      <c r="P12" s="302">
        <v>17</v>
      </c>
      <c r="Q12" s="303"/>
      <c r="R12" s="36"/>
      <c r="S12" s="151"/>
      <c r="T12" s="36"/>
      <c r="U12" s="150"/>
      <c r="V12" s="166" t="s">
        <v>216</v>
      </c>
      <c r="W12" s="164"/>
      <c r="X12" s="151"/>
      <c r="Y12" s="36"/>
      <c r="Z12" s="151"/>
      <c r="AA12" s="167"/>
      <c r="AB12" s="168"/>
      <c r="AC12" s="150"/>
      <c r="AD12" s="32"/>
      <c r="AE12" s="151"/>
      <c r="AF12" s="36"/>
      <c r="AG12" s="36"/>
    </row>
    <row r="13" spans="1:33" ht="45" customHeight="1" thickTop="1" x14ac:dyDescent="0.25">
      <c r="A13" s="36"/>
      <c r="B13" s="150"/>
      <c r="C13" s="306" t="s">
        <v>217</v>
      </c>
      <c r="D13" s="36"/>
      <c r="E13" s="272"/>
      <c r="F13" s="272"/>
      <c r="G13" s="280" t="s">
        <v>218</v>
      </c>
      <c r="H13" s="280" t="s">
        <v>219</v>
      </c>
      <c r="I13" s="280" t="s">
        <v>220</v>
      </c>
      <c r="J13" s="272"/>
      <c r="K13" s="280" t="s">
        <v>221</v>
      </c>
      <c r="L13" s="280" t="s">
        <v>222</v>
      </c>
      <c r="M13" s="276" t="s">
        <v>223</v>
      </c>
      <c r="N13" s="282"/>
      <c r="O13" s="280" t="s">
        <v>224</v>
      </c>
      <c r="P13" s="276" t="s">
        <v>225</v>
      </c>
      <c r="Q13" s="277"/>
      <c r="R13" s="32"/>
      <c r="S13" s="151"/>
      <c r="T13" s="36"/>
      <c r="U13" s="150"/>
      <c r="V13" s="164" t="s">
        <v>226</v>
      </c>
      <c r="W13" s="164"/>
      <c r="X13" s="151"/>
      <c r="Y13" s="36"/>
      <c r="Z13" s="36"/>
      <c r="AA13" s="36"/>
      <c r="AB13" s="32"/>
      <c r="AC13" s="150"/>
      <c r="AD13" s="32"/>
      <c r="AE13" s="151"/>
      <c r="AF13" s="36"/>
      <c r="AG13" s="36"/>
    </row>
    <row r="14" spans="1:33" ht="96.75" customHeight="1" x14ac:dyDescent="0.25">
      <c r="A14" s="36"/>
      <c r="B14" s="150"/>
      <c r="C14" s="306"/>
      <c r="D14" s="36"/>
      <c r="E14" s="273"/>
      <c r="F14" s="273"/>
      <c r="G14" s="281"/>
      <c r="H14" s="281"/>
      <c r="I14" s="281"/>
      <c r="J14" s="273"/>
      <c r="K14" s="281"/>
      <c r="L14" s="281"/>
      <c r="M14" s="278"/>
      <c r="N14" s="283"/>
      <c r="O14" s="281"/>
      <c r="P14" s="278"/>
      <c r="Q14" s="279"/>
      <c r="R14" s="32"/>
      <c r="S14" s="151"/>
      <c r="T14" s="36"/>
      <c r="U14" s="150"/>
      <c r="V14" s="32"/>
      <c r="W14" s="32"/>
      <c r="X14" s="151"/>
      <c r="Y14" s="36"/>
      <c r="Z14" s="143"/>
      <c r="AA14" s="274" t="s">
        <v>227</v>
      </c>
      <c r="AB14" s="275"/>
      <c r="AC14" s="150"/>
      <c r="AD14" s="32"/>
      <c r="AE14" s="151"/>
      <c r="AF14" s="36"/>
      <c r="AG14" s="36"/>
    </row>
    <row r="15" spans="1:33" ht="84" customHeight="1" x14ac:dyDescent="0.25">
      <c r="A15" s="36"/>
      <c r="B15" s="150"/>
      <c r="C15" s="306"/>
      <c r="D15" s="36"/>
      <c r="E15" s="307"/>
      <c r="F15" s="280" t="s">
        <v>228</v>
      </c>
      <c r="G15" s="272"/>
      <c r="H15" s="280" t="s">
        <v>229</v>
      </c>
      <c r="I15" s="280" t="s">
        <v>230</v>
      </c>
      <c r="J15" s="280" t="s">
        <v>231</v>
      </c>
      <c r="K15" s="272"/>
      <c r="L15" s="280" t="s">
        <v>233</v>
      </c>
      <c r="M15" s="276" t="s">
        <v>31</v>
      </c>
      <c r="N15" s="282"/>
      <c r="O15" s="280" t="s">
        <v>234</v>
      </c>
      <c r="P15" s="276" t="s">
        <v>235</v>
      </c>
      <c r="Q15" s="277"/>
      <c r="R15" s="36"/>
      <c r="S15" s="151"/>
      <c r="T15" s="151"/>
      <c r="U15" s="32"/>
      <c r="V15" s="32"/>
      <c r="W15" s="32"/>
      <c r="X15" s="151"/>
      <c r="Y15" s="32"/>
      <c r="Z15" s="169"/>
      <c r="AA15" s="274" t="s">
        <v>236</v>
      </c>
      <c r="AB15" s="275"/>
      <c r="AC15" s="150"/>
      <c r="AD15" s="32"/>
      <c r="AE15" s="151"/>
      <c r="AF15" s="36"/>
      <c r="AG15" s="36"/>
    </row>
    <row r="16" spans="1:33" ht="70.5" customHeight="1" x14ac:dyDescent="0.25">
      <c r="A16" s="36"/>
      <c r="B16" s="150"/>
      <c r="C16" s="306"/>
      <c r="D16" s="36"/>
      <c r="E16" s="308"/>
      <c r="F16" s="281"/>
      <c r="G16" s="273"/>
      <c r="H16" s="281"/>
      <c r="I16" s="281"/>
      <c r="J16" s="281"/>
      <c r="K16" s="273"/>
      <c r="L16" s="281"/>
      <c r="M16" s="278"/>
      <c r="N16" s="283"/>
      <c r="O16" s="281"/>
      <c r="P16" s="278"/>
      <c r="Q16" s="279"/>
      <c r="R16" s="36"/>
      <c r="S16" s="151"/>
      <c r="T16" s="151"/>
      <c r="U16" s="32"/>
      <c r="V16" s="32"/>
      <c r="W16" s="32"/>
      <c r="X16" s="151"/>
      <c r="Y16" s="32"/>
      <c r="Z16" s="169"/>
      <c r="AA16" s="170"/>
      <c r="AB16" s="170"/>
      <c r="AC16" s="150"/>
      <c r="AD16" s="32"/>
      <c r="AE16" s="151"/>
      <c r="AF16" s="36"/>
      <c r="AG16" s="36"/>
    </row>
    <row r="17" spans="1:33" ht="64.5" customHeight="1" x14ac:dyDescent="0.25">
      <c r="A17" s="36"/>
      <c r="B17" s="150"/>
      <c r="C17" s="306"/>
      <c r="D17" s="36"/>
      <c r="E17" s="171">
        <v>28</v>
      </c>
      <c r="F17" s="171">
        <v>29</v>
      </c>
      <c r="G17" s="171">
        <v>30</v>
      </c>
      <c r="H17" s="171">
        <v>31</v>
      </c>
      <c r="I17" s="171">
        <v>32</v>
      </c>
      <c r="J17" s="171">
        <v>33</v>
      </c>
      <c r="K17" s="171">
        <v>34</v>
      </c>
      <c r="L17" s="171">
        <v>35</v>
      </c>
      <c r="M17" s="304">
        <v>36</v>
      </c>
      <c r="N17" s="304"/>
      <c r="O17" s="171">
        <v>37</v>
      </c>
      <c r="P17" s="304">
        <v>38</v>
      </c>
      <c r="Q17" s="305"/>
      <c r="R17" s="36"/>
      <c r="S17" s="151"/>
      <c r="T17" s="151"/>
      <c r="U17" s="36"/>
      <c r="V17" s="36"/>
      <c r="W17" s="36"/>
      <c r="X17" s="151"/>
      <c r="Y17" s="36"/>
      <c r="Z17" s="143"/>
      <c r="AA17" s="293" t="s">
        <v>237</v>
      </c>
      <c r="AB17" s="274"/>
      <c r="AC17" s="150"/>
      <c r="AD17" s="32"/>
      <c r="AE17" s="151"/>
      <c r="AF17" s="36"/>
      <c r="AG17" s="36"/>
    </row>
    <row r="18" spans="1:33" ht="63.75" customHeight="1" thickBot="1" x14ac:dyDescent="0.3">
      <c r="A18" s="36"/>
      <c r="B18" s="150"/>
      <c r="C18" s="30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151"/>
      <c r="R18" s="36"/>
      <c r="S18" s="151"/>
      <c r="T18" s="151"/>
      <c r="U18" s="138"/>
      <c r="V18" s="138"/>
      <c r="W18" s="138"/>
      <c r="X18" s="145"/>
      <c r="Y18" s="36"/>
      <c r="Z18" s="143"/>
      <c r="AA18" s="298" t="s">
        <v>238</v>
      </c>
      <c r="AB18" s="299"/>
      <c r="AC18" s="159"/>
      <c r="AD18" s="138"/>
      <c r="AE18" s="145"/>
      <c r="AF18" s="36"/>
      <c r="AG18" s="36"/>
    </row>
    <row r="19" spans="1:33" ht="26.25" customHeight="1" thickTop="1" x14ac:dyDescent="0.25">
      <c r="A19" s="36"/>
      <c r="B19" s="150"/>
      <c r="C19" s="30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151"/>
      <c r="R19" s="36"/>
      <c r="S19" s="151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</row>
    <row r="20" spans="1:33" ht="20.25" customHeight="1" x14ac:dyDescent="0.25">
      <c r="A20" s="36"/>
      <c r="B20" s="150"/>
      <c r="C20" s="151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151"/>
      <c r="R20" s="36"/>
      <c r="S20" s="151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</row>
    <row r="21" spans="1:33" ht="24.75" customHeight="1" x14ac:dyDescent="0.25">
      <c r="A21" s="36"/>
      <c r="B21" s="150"/>
      <c r="C21" s="151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151"/>
      <c r="R21" s="36"/>
      <c r="S21" s="151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</row>
    <row r="22" spans="1:33" ht="16.5" customHeight="1" x14ac:dyDescent="0.25"/>
  </sheetData>
  <mergeCells count="53">
    <mergeCell ref="AA18:AB18"/>
    <mergeCell ref="M17:N17"/>
    <mergeCell ref="P17:Q17"/>
    <mergeCell ref="AA17:AB17"/>
    <mergeCell ref="C13:C19"/>
    <mergeCell ref="AA14:AB14"/>
    <mergeCell ref="E15:E16"/>
    <mergeCell ref="F15:F16"/>
    <mergeCell ref="G15:G16"/>
    <mergeCell ref="H15:H16"/>
    <mergeCell ref="I15:I16"/>
    <mergeCell ref="J15:J16"/>
    <mergeCell ref="K15:K16"/>
    <mergeCell ref="L15:L16"/>
    <mergeCell ref="M15:N16"/>
    <mergeCell ref="J13:J14"/>
    <mergeCell ref="I9:J9"/>
    <mergeCell ref="O9:Q9"/>
    <mergeCell ref="I10:J10"/>
    <mergeCell ref="O10:Q10"/>
    <mergeCell ref="M12:N12"/>
    <mergeCell ref="P12:Q12"/>
    <mergeCell ref="I6:J6"/>
    <mergeCell ref="O6:Q6"/>
    <mergeCell ref="I7:J7"/>
    <mergeCell ref="O7:Q7"/>
    <mergeCell ref="I8:J8"/>
    <mergeCell ref="O8:Q8"/>
    <mergeCell ref="I4:J4"/>
    <mergeCell ref="M4:O4"/>
    <mergeCell ref="V4:W4"/>
    <mergeCell ref="AA4:AB4"/>
    <mergeCell ref="I5:J5"/>
    <mergeCell ref="N5:P5"/>
    <mergeCell ref="AA3:AB3"/>
    <mergeCell ref="I2:J2"/>
    <mergeCell ref="V2:V3"/>
    <mergeCell ref="W2:W3"/>
    <mergeCell ref="X2:X3"/>
    <mergeCell ref="I3:J3"/>
    <mergeCell ref="F13:F14"/>
    <mergeCell ref="E13:E14"/>
    <mergeCell ref="AA15:AB15"/>
    <mergeCell ref="P15:Q16"/>
    <mergeCell ref="O15:O16"/>
    <mergeCell ref="H13:H14"/>
    <mergeCell ref="G13:G14"/>
    <mergeCell ref="I13:I14"/>
    <mergeCell ref="P13:Q14"/>
    <mergeCell ref="K13:K14"/>
    <mergeCell ref="L13:L14"/>
    <mergeCell ref="M13:N14"/>
    <mergeCell ref="O13:O1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26"/>
  <sheetViews>
    <sheetView showGridLines="0" showRowColHeaders="0" zoomScale="130" zoomScaleNormal="130" workbookViewId="0"/>
  </sheetViews>
  <sheetFormatPr baseColWidth="10" defaultRowHeight="15" x14ac:dyDescent="0.25"/>
  <cols>
    <col min="1" max="3" width="8.85546875" style="97" customWidth="1"/>
    <col min="4" max="4" width="9.7109375" style="97" customWidth="1"/>
    <col min="5" max="5" width="9.5703125" style="97" customWidth="1"/>
    <col min="6" max="6" width="9.42578125" style="97" customWidth="1"/>
    <col min="7" max="7" width="9" style="97" customWidth="1"/>
    <col min="8" max="8" width="10.7109375" style="97" customWidth="1"/>
    <col min="9" max="9" width="8" style="97" customWidth="1"/>
    <col min="10" max="10" width="9.42578125" style="97" customWidth="1"/>
    <col min="11" max="11" width="9.5703125" style="97" customWidth="1"/>
    <col min="12" max="12" width="11.140625" style="97" customWidth="1"/>
    <col min="13" max="13" width="10.5703125" style="97" customWidth="1"/>
    <col min="14" max="16384" width="11.42578125" style="97"/>
  </cols>
  <sheetData>
    <row r="1" spans="1:20" ht="15.75" thickBot="1" x14ac:dyDescent="0.3">
      <c r="A1" s="172">
        <v>1</v>
      </c>
      <c r="B1" s="173">
        <v>2</v>
      </c>
      <c r="C1" s="173">
        <v>3</v>
      </c>
      <c r="D1" s="173">
        <v>4</v>
      </c>
      <c r="E1" s="173">
        <v>5</v>
      </c>
      <c r="F1" s="173">
        <v>6</v>
      </c>
      <c r="G1" s="173">
        <v>7</v>
      </c>
      <c r="H1" s="173">
        <v>8</v>
      </c>
      <c r="I1" s="173">
        <v>9</v>
      </c>
      <c r="J1" s="173">
        <v>10</v>
      </c>
      <c r="K1" s="173">
        <v>11</v>
      </c>
      <c r="L1" s="173">
        <v>12</v>
      </c>
      <c r="M1" s="173">
        <v>13</v>
      </c>
    </row>
    <row r="2" spans="1:20" ht="67.5" customHeight="1" thickBot="1" x14ac:dyDescent="0.3">
      <c r="A2" s="174" t="s">
        <v>256</v>
      </c>
      <c r="B2" s="175" t="s">
        <v>257</v>
      </c>
      <c r="C2" s="175" t="s">
        <v>258</v>
      </c>
      <c r="D2" s="175" t="s">
        <v>259</v>
      </c>
      <c r="E2" s="175" t="s">
        <v>260</v>
      </c>
      <c r="F2" s="175" t="s">
        <v>261</v>
      </c>
      <c r="G2" s="175" t="s">
        <v>262</v>
      </c>
      <c r="H2" s="175" t="s">
        <v>916</v>
      </c>
      <c r="I2" s="175" t="s">
        <v>263</v>
      </c>
      <c r="J2" s="175" t="s">
        <v>264</v>
      </c>
      <c r="K2" s="175" t="s">
        <v>265</v>
      </c>
      <c r="L2" s="175" t="s">
        <v>266</v>
      </c>
      <c r="M2" s="175" t="s">
        <v>267</v>
      </c>
    </row>
    <row r="3" spans="1:20" ht="15.75" thickBot="1" x14ac:dyDescent="0.3">
      <c r="A3" s="176">
        <v>14</v>
      </c>
      <c r="B3" s="177">
        <v>15</v>
      </c>
      <c r="C3" s="177">
        <v>16</v>
      </c>
      <c r="D3" s="177">
        <v>17</v>
      </c>
      <c r="E3" s="177">
        <v>18</v>
      </c>
      <c r="F3" s="177">
        <v>19</v>
      </c>
      <c r="G3" s="177">
        <v>20</v>
      </c>
      <c r="H3" s="177">
        <v>21</v>
      </c>
      <c r="I3" s="177">
        <v>22</v>
      </c>
      <c r="J3" s="177">
        <v>23</v>
      </c>
      <c r="K3" s="177">
        <v>24</v>
      </c>
      <c r="L3" s="177">
        <v>25</v>
      </c>
      <c r="M3" s="177">
        <v>26</v>
      </c>
    </row>
    <row r="4" spans="1:20" ht="97.5" customHeight="1" thickBot="1" x14ac:dyDescent="0.3">
      <c r="A4" s="174" t="s">
        <v>917</v>
      </c>
      <c r="B4" s="175" t="s">
        <v>268</v>
      </c>
      <c r="C4" s="175" t="s">
        <v>269</v>
      </c>
      <c r="D4" s="175" t="s">
        <v>918</v>
      </c>
      <c r="E4" s="175" t="s">
        <v>270</v>
      </c>
      <c r="F4" s="175" t="s">
        <v>271</v>
      </c>
      <c r="G4" s="175" t="s">
        <v>272</v>
      </c>
      <c r="H4" s="175" t="s">
        <v>919</v>
      </c>
      <c r="I4" s="175" t="s">
        <v>920</v>
      </c>
      <c r="J4" s="175" t="s">
        <v>921</v>
      </c>
      <c r="K4" s="175" t="s">
        <v>273</v>
      </c>
      <c r="L4" s="175" t="s">
        <v>274</v>
      </c>
      <c r="M4" s="175" t="s">
        <v>275</v>
      </c>
    </row>
    <row r="5" spans="1:20" ht="15.75" thickBot="1" x14ac:dyDescent="0.3">
      <c r="A5" s="178">
        <v>27</v>
      </c>
      <c r="B5" s="177">
        <v>28</v>
      </c>
      <c r="C5" s="177">
        <v>29</v>
      </c>
      <c r="D5" s="177">
        <v>30</v>
      </c>
      <c r="E5" s="177">
        <v>31</v>
      </c>
      <c r="F5" s="177">
        <v>32</v>
      </c>
      <c r="G5" s="177">
        <v>33</v>
      </c>
      <c r="H5" s="177">
        <v>34</v>
      </c>
      <c r="I5" s="177">
        <v>35</v>
      </c>
      <c r="J5" s="177">
        <v>36</v>
      </c>
      <c r="K5" s="177">
        <v>37</v>
      </c>
      <c r="L5" s="177">
        <v>38</v>
      </c>
      <c r="M5" s="177">
        <v>39</v>
      </c>
    </row>
    <row r="6" spans="1:20" ht="66.75" customHeight="1" thickBot="1" x14ac:dyDescent="0.3">
      <c r="A6" s="174"/>
      <c r="B6" s="175" t="s">
        <v>276</v>
      </c>
      <c r="C6" s="175" t="s">
        <v>277</v>
      </c>
      <c r="D6" s="175" t="s">
        <v>278</v>
      </c>
      <c r="E6" s="175" t="s">
        <v>922</v>
      </c>
      <c r="F6" s="175" t="s">
        <v>279</v>
      </c>
      <c r="G6" s="175" t="s">
        <v>923</v>
      </c>
      <c r="H6" s="175" t="s">
        <v>280</v>
      </c>
      <c r="I6" s="175" t="s">
        <v>924</v>
      </c>
      <c r="J6" s="175" t="s">
        <v>925</v>
      </c>
      <c r="K6" s="175" t="s">
        <v>926</v>
      </c>
      <c r="L6" s="175" t="s">
        <v>281</v>
      </c>
      <c r="M6" s="175" t="s">
        <v>282</v>
      </c>
    </row>
    <row r="7" spans="1:20" ht="15.75" thickBot="1" x14ac:dyDescent="0.3">
      <c r="A7" s="176">
        <v>40</v>
      </c>
      <c r="B7" s="177">
        <v>41</v>
      </c>
      <c r="C7" s="177">
        <v>42</v>
      </c>
      <c r="D7" s="177">
        <v>43</v>
      </c>
      <c r="E7" s="177">
        <v>44</v>
      </c>
      <c r="F7" s="177">
        <v>45</v>
      </c>
      <c r="G7" s="177">
        <v>46</v>
      </c>
      <c r="H7" s="177">
        <v>47</v>
      </c>
      <c r="I7" s="177">
        <v>48</v>
      </c>
      <c r="J7" s="177">
        <v>49</v>
      </c>
      <c r="K7" s="177">
        <v>50</v>
      </c>
      <c r="L7" s="177">
        <v>51</v>
      </c>
      <c r="M7" s="177">
        <v>52</v>
      </c>
    </row>
    <row r="8" spans="1:20" ht="77.25" customHeight="1" thickBot="1" x14ac:dyDescent="0.3">
      <c r="A8" s="174" t="s">
        <v>283</v>
      </c>
      <c r="B8" s="175" t="s">
        <v>284</v>
      </c>
      <c r="C8" s="175" t="s">
        <v>285</v>
      </c>
      <c r="D8" s="175" t="s">
        <v>286</v>
      </c>
      <c r="E8" s="175" t="s">
        <v>287</v>
      </c>
      <c r="F8" s="175" t="s">
        <v>288</v>
      </c>
      <c r="G8" s="175" t="s">
        <v>289</v>
      </c>
      <c r="H8" s="175" t="s">
        <v>927</v>
      </c>
      <c r="I8" s="175" t="s">
        <v>928</v>
      </c>
      <c r="J8" s="175" t="s">
        <v>290</v>
      </c>
      <c r="K8" s="175" t="s">
        <v>291</v>
      </c>
      <c r="L8" s="175" t="s">
        <v>292</v>
      </c>
      <c r="M8" s="175" t="s">
        <v>293</v>
      </c>
      <c r="O8" s="7"/>
      <c r="P8" s="7"/>
      <c r="Q8" s="7"/>
      <c r="R8" s="8"/>
      <c r="S8" s="7"/>
      <c r="T8" s="7"/>
    </row>
    <row r="9" spans="1:20" ht="16.5" thickBot="1" x14ac:dyDescent="0.3">
      <c r="A9" s="176">
        <v>53</v>
      </c>
      <c r="B9" s="177">
        <v>54</v>
      </c>
      <c r="C9" s="177">
        <v>55</v>
      </c>
      <c r="D9" s="177">
        <v>56</v>
      </c>
      <c r="E9" s="177">
        <v>57</v>
      </c>
      <c r="F9" s="177">
        <v>58</v>
      </c>
      <c r="G9" s="177">
        <v>59</v>
      </c>
      <c r="H9" s="177">
        <v>60</v>
      </c>
      <c r="I9" s="177">
        <v>61</v>
      </c>
      <c r="J9" s="179">
        <v>62</v>
      </c>
      <c r="K9" s="177">
        <v>63</v>
      </c>
      <c r="L9" s="177">
        <v>64</v>
      </c>
      <c r="M9" s="177">
        <v>65</v>
      </c>
      <c r="O9" s="7"/>
      <c r="P9" s="7"/>
      <c r="Q9" s="9"/>
      <c r="R9" s="57"/>
      <c r="S9" s="11"/>
      <c r="T9" s="11"/>
    </row>
    <row r="10" spans="1:20" ht="98.25" customHeight="1" thickBot="1" x14ac:dyDescent="0.3">
      <c r="A10" s="174" t="s">
        <v>915</v>
      </c>
      <c r="B10" s="175" t="s">
        <v>294</v>
      </c>
      <c r="C10" s="175" t="s">
        <v>295</v>
      </c>
      <c r="D10" s="175" t="s">
        <v>296</v>
      </c>
      <c r="E10" s="175" t="s">
        <v>297</v>
      </c>
      <c r="F10" s="175" t="s">
        <v>298</v>
      </c>
      <c r="G10" s="175" t="s">
        <v>299</v>
      </c>
      <c r="H10" s="175" t="s">
        <v>929</v>
      </c>
      <c r="I10" s="175" t="s">
        <v>300</v>
      </c>
      <c r="J10" s="175"/>
      <c r="K10" s="175" t="s">
        <v>301</v>
      </c>
      <c r="L10" s="175" t="s">
        <v>302</v>
      </c>
      <c r="M10" s="175" t="s">
        <v>303</v>
      </c>
    </row>
    <row r="11" spans="1:20" ht="15.75" thickBot="1" x14ac:dyDescent="0.3">
      <c r="A11" s="176">
        <v>66</v>
      </c>
      <c r="B11" s="177">
        <v>67</v>
      </c>
      <c r="C11" s="177">
        <v>68</v>
      </c>
      <c r="D11" s="179">
        <v>69</v>
      </c>
      <c r="E11" s="177">
        <v>70</v>
      </c>
      <c r="F11" s="177">
        <v>71</v>
      </c>
      <c r="G11" s="177">
        <v>72</v>
      </c>
      <c r="H11" s="179">
        <v>73</v>
      </c>
      <c r="I11" s="179">
        <v>74</v>
      </c>
      <c r="J11" s="179">
        <v>75</v>
      </c>
      <c r="K11" s="179">
        <v>76</v>
      </c>
      <c r="L11" s="179">
        <v>77</v>
      </c>
      <c r="M11" s="179">
        <v>78</v>
      </c>
    </row>
    <row r="12" spans="1:20" ht="76.5" customHeight="1" thickBot="1" x14ac:dyDescent="0.3">
      <c r="A12" s="174" t="s">
        <v>304</v>
      </c>
      <c r="B12" s="175" t="s">
        <v>305</v>
      </c>
      <c r="C12" s="175" t="s">
        <v>306</v>
      </c>
      <c r="D12" s="175"/>
      <c r="E12" s="175" t="s">
        <v>307</v>
      </c>
      <c r="F12" s="175" t="s">
        <v>308</v>
      </c>
      <c r="G12" s="175" t="s">
        <v>309</v>
      </c>
      <c r="H12" s="175"/>
      <c r="I12" s="175"/>
      <c r="J12" s="175"/>
      <c r="K12" s="175"/>
      <c r="L12" s="175"/>
      <c r="M12" s="175"/>
    </row>
    <row r="13" spans="1:20" ht="15.75" thickBot="1" x14ac:dyDescent="0.3">
      <c r="A13" s="172">
        <v>79</v>
      </c>
      <c r="B13" s="173">
        <v>80</v>
      </c>
      <c r="C13" s="173">
        <v>81</v>
      </c>
      <c r="D13" s="173">
        <v>82</v>
      </c>
      <c r="E13" s="173">
        <v>83</v>
      </c>
      <c r="F13" s="173">
        <v>84</v>
      </c>
      <c r="G13" s="173">
        <v>85</v>
      </c>
      <c r="H13" s="173">
        <v>86</v>
      </c>
      <c r="I13" s="173">
        <v>87</v>
      </c>
      <c r="J13" s="173">
        <v>88</v>
      </c>
      <c r="K13" s="173">
        <v>89</v>
      </c>
      <c r="L13" s="180">
        <v>90</v>
      </c>
      <c r="M13" s="173">
        <v>91</v>
      </c>
    </row>
    <row r="14" spans="1:20" ht="71.25" customHeight="1" thickBot="1" x14ac:dyDescent="0.3">
      <c r="A14" s="174" t="s">
        <v>310</v>
      </c>
      <c r="B14" s="175" t="s">
        <v>311</v>
      </c>
      <c r="C14" s="175" t="s">
        <v>312</v>
      </c>
      <c r="D14" s="175" t="s">
        <v>313</v>
      </c>
      <c r="E14" s="175" t="s">
        <v>949</v>
      </c>
      <c r="F14" s="175" t="s">
        <v>314</v>
      </c>
      <c r="G14" s="175" t="s">
        <v>315</v>
      </c>
      <c r="H14" s="175" t="s">
        <v>950</v>
      </c>
      <c r="I14" s="175" t="s">
        <v>1022</v>
      </c>
      <c r="J14" s="175" t="s">
        <v>317</v>
      </c>
      <c r="K14" s="175" t="s">
        <v>318</v>
      </c>
      <c r="L14" s="175"/>
      <c r="M14" s="175" t="s">
        <v>319</v>
      </c>
    </row>
    <row r="15" spans="1:20" ht="15.75" thickBot="1" x14ac:dyDescent="0.3">
      <c r="A15" s="176">
        <v>92</v>
      </c>
      <c r="B15" s="177">
        <v>93</v>
      </c>
      <c r="C15" s="177">
        <v>94</v>
      </c>
      <c r="D15" s="177">
        <v>95</v>
      </c>
      <c r="E15" s="177">
        <v>96</v>
      </c>
      <c r="F15" s="177">
        <v>97</v>
      </c>
      <c r="G15" s="177">
        <v>98</v>
      </c>
      <c r="H15" s="172">
        <v>99</v>
      </c>
      <c r="I15" s="177">
        <v>100</v>
      </c>
      <c r="J15" s="177">
        <v>101</v>
      </c>
      <c r="K15" s="177">
        <v>102</v>
      </c>
      <c r="L15" s="177">
        <v>103</v>
      </c>
      <c r="M15" s="177">
        <v>104</v>
      </c>
    </row>
    <row r="16" spans="1:20" ht="81" customHeight="1" thickBot="1" x14ac:dyDescent="0.3">
      <c r="A16" s="174" t="s">
        <v>320</v>
      </c>
      <c r="B16" s="175" t="s">
        <v>321</v>
      </c>
      <c r="C16" s="175" t="s">
        <v>322</v>
      </c>
      <c r="D16" s="175" t="s">
        <v>323</v>
      </c>
      <c r="E16" s="175" t="s">
        <v>948</v>
      </c>
      <c r="F16" s="175" t="s">
        <v>947</v>
      </c>
      <c r="G16" s="175" t="s">
        <v>324</v>
      </c>
      <c r="H16" s="174" t="s">
        <v>946</v>
      </c>
      <c r="I16" s="175" t="s">
        <v>325</v>
      </c>
      <c r="J16" s="175" t="s">
        <v>945</v>
      </c>
      <c r="K16" s="175" t="s">
        <v>944</v>
      </c>
      <c r="L16" s="175" t="s">
        <v>326</v>
      </c>
      <c r="M16" s="175" t="s">
        <v>943</v>
      </c>
    </row>
    <row r="17" spans="1:13" ht="15.75" thickBot="1" x14ac:dyDescent="0.3">
      <c r="A17" s="176">
        <v>105</v>
      </c>
      <c r="B17" s="177">
        <v>106</v>
      </c>
      <c r="C17" s="177">
        <v>107</v>
      </c>
      <c r="D17" s="177">
        <v>108</v>
      </c>
      <c r="E17" s="177">
        <v>109</v>
      </c>
      <c r="F17" s="177">
        <v>110</v>
      </c>
      <c r="G17" s="177">
        <v>111</v>
      </c>
      <c r="H17" s="177">
        <v>112</v>
      </c>
      <c r="I17" s="177">
        <v>113</v>
      </c>
      <c r="J17" s="177">
        <v>114</v>
      </c>
      <c r="K17" s="177">
        <v>115</v>
      </c>
      <c r="L17" s="179">
        <v>116</v>
      </c>
      <c r="M17" s="179">
        <v>117</v>
      </c>
    </row>
    <row r="18" spans="1:13" ht="57" thickBot="1" x14ac:dyDescent="0.3">
      <c r="A18" s="174" t="s">
        <v>327</v>
      </c>
      <c r="B18" s="175" t="s">
        <v>328</v>
      </c>
      <c r="C18" s="175" t="s">
        <v>329</v>
      </c>
      <c r="D18" s="175" t="s">
        <v>330</v>
      </c>
      <c r="E18" s="175" t="s">
        <v>331</v>
      </c>
      <c r="F18" s="175" t="s">
        <v>332</v>
      </c>
      <c r="G18" s="175" t="s">
        <v>942</v>
      </c>
      <c r="H18" s="175" t="s">
        <v>333</v>
      </c>
      <c r="I18" s="175" t="s">
        <v>941</v>
      </c>
      <c r="J18" s="175" t="s">
        <v>334</v>
      </c>
      <c r="K18" s="175" t="s">
        <v>335</v>
      </c>
      <c r="L18" s="175"/>
      <c r="M18" s="175"/>
    </row>
    <row r="19" spans="1:13" ht="15.75" thickBot="1" x14ac:dyDescent="0.3">
      <c r="A19" s="178">
        <v>118</v>
      </c>
      <c r="B19" s="177">
        <v>119</v>
      </c>
      <c r="C19" s="177">
        <v>120</v>
      </c>
      <c r="D19" s="177">
        <v>121</v>
      </c>
      <c r="E19" s="177">
        <v>122</v>
      </c>
      <c r="F19" s="177">
        <v>123</v>
      </c>
      <c r="G19" s="177">
        <v>124</v>
      </c>
      <c r="H19" s="177">
        <v>125</v>
      </c>
      <c r="I19" s="177">
        <v>126</v>
      </c>
      <c r="J19" s="177">
        <v>127</v>
      </c>
      <c r="K19" s="177">
        <v>128</v>
      </c>
      <c r="L19" s="177">
        <v>129</v>
      </c>
      <c r="M19" s="177">
        <v>130</v>
      </c>
    </row>
    <row r="20" spans="1:13" ht="21.75" customHeight="1" x14ac:dyDescent="0.25">
      <c r="A20" s="309" t="s">
        <v>1010</v>
      </c>
      <c r="B20" s="309" t="s">
        <v>336</v>
      </c>
      <c r="C20" s="181" t="s">
        <v>337</v>
      </c>
      <c r="D20" s="309" t="s">
        <v>339</v>
      </c>
      <c r="E20" s="309" t="s">
        <v>340</v>
      </c>
      <c r="F20" s="309" t="s">
        <v>341</v>
      </c>
      <c r="G20" s="309" t="s">
        <v>342</v>
      </c>
      <c r="H20" s="309" t="s">
        <v>940</v>
      </c>
      <c r="I20" s="309" t="s">
        <v>343</v>
      </c>
      <c r="J20" s="309" t="s">
        <v>344</v>
      </c>
      <c r="K20" s="309" t="s">
        <v>939</v>
      </c>
      <c r="L20" s="309" t="s">
        <v>345</v>
      </c>
      <c r="M20" s="309" t="s">
        <v>938</v>
      </c>
    </row>
    <row r="21" spans="1:13" ht="51.75" customHeight="1" thickBot="1" x14ac:dyDescent="0.3">
      <c r="A21" s="310"/>
      <c r="B21" s="310"/>
      <c r="C21" s="175" t="s">
        <v>338</v>
      </c>
      <c r="D21" s="310"/>
      <c r="E21" s="310"/>
      <c r="F21" s="310"/>
      <c r="G21" s="310"/>
      <c r="H21" s="310"/>
      <c r="I21" s="310"/>
      <c r="J21" s="310"/>
      <c r="K21" s="310"/>
      <c r="L21" s="310"/>
      <c r="M21" s="310"/>
    </row>
    <row r="22" spans="1:13" ht="15.75" thickBot="1" x14ac:dyDescent="0.3">
      <c r="A22" s="176">
        <v>131</v>
      </c>
      <c r="B22" s="179">
        <v>132</v>
      </c>
      <c r="C22" s="177">
        <v>133</v>
      </c>
      <c r="D22" s="177">
        <v>134</v>
      </c>
      <c r="E22" s="177">
        <v>135</v>
      </c>
      <c r="F22" s="179">
        <v>136</v>
      </c>
      <c r="G22" s="179">
        <v>137</v>
      </c>
      <c r="H22" s="177">
        <v>138</v>
      </c>
      <c r="I22" s="179">
        <v>139</v>
      </c>
      <c r="J22" s="177">
        <v>140</v>
      </c>
      <c r="K22" s="179">
        <v>141</v>
      </c>
      <c r="L22" s="177">
        <v>142</v>
      </c>
      <c r="M22" s="172">
        <v>143</v>
      </c>
    </row>
    <row r="23" spans="1:13" ht="66" customHeight="1" thickBot="1" x14ac:dyDescent="0.3">
      <c r="A23" s="174" t="s">
        <v>346</v>
      </c>
      <c r="B23" s="175"/>
      <c r="C23" s="175" t="s">
        <v>347</v>
      </c>
      <c r="D23" s="175" t="s">
        <v>937</v>
      </c>
      <c r="E23" s="175" t="s">
        <v>936</v>
      </c>
      <c r="F23" s="175"/>
      <c r="G23" s="175"/>
      <c r="H23" s="175" t="s">
        <v>348</v>
      </c>
      <c r="I23" s="175"/>
      <c r="J23" s="175" t="s">
        <v>935</v>
      </c>
      <c r="K23" s="175"/>
      <c r="L23" s="175" t="s">
        <v>349</v>
      </c>
      <c r="M23" s="174" t="s">
        <v>934</v>
      </c>
    </row>
    <row r="24" spans="1:13" ht="15.75" thickBot="1" x14ac:dyDescent="0.3">
      <c r="A24" s="178">
        <v>144</v>
      </c>
      <c r="B24" s="177">
        <v>145</v>
      </c>
      <c r="C24" s="177">
        <v>146</v>
      </c>
      <c r="D24" s="179">
        <v>147</v>
      </c>
      <c r="E24" s="177">
        <v>148</v>
      </c>
      <c r="F24" s="177">
        <v>149</v>
      </c>
      <c r="G24" s="221">
        <v>150</v>
      </c>
      <c r="H24" s="177">
        <v>151</v>
      </c>
      <c r="I24" s="177">
        <v>152</v>
      </c>
      <c r="J24" s="179">
        <v>153</v>
      </c>
      <c r="K24" s="179">
        <v>154</v>
      </c>
      <c r="L24" s="177">
        <v>155</v>
      </c>
      <c r="M24" s="177">
        <v>156</v>
      </c>
    </row>
    <row r="25" spans="1:13" ht="21.75" customHeight="1" x14ac:dyDescent="0.25">
      <c r="A25" s="311"/>
      <c r="B25" s="309" t="s">
        <v>933</v>
      </c>
      <c r="C25" s="182" t="s">
        <v>350</v>
      </c>
      <c r="D25" s="311"/>
      <c r="E25" s="309" t="s">
        <v>932</v>
      </c>
      <c r="F25" s="309" t="s">
        <v>353</v>
      </c>
      <c r="G25" s="309"/>
      <c r="H25" s="309" t="s">
        <v>931</v>
      </c>
      <c r="I25" s="309" t="s">
        <v>354</v>
      </c>
      <c r="J25" s="311"/>
      <c r="K25" s="311"/>
      <c r="L25" s="309" t="s">
        <v>355</v>
      </c>
      <c r="M25" s="309" t="s">
        <v>930</v>
      </c>
    </row>
    <row r="26" spans="1:13" ht="34.5" thickBot="1" x14ac:dyDescent="0.3">
      <c r="A26" s="312"/>
      <c r="B26" s="310"/>
      <c r="C26" s="183" t="s">
        <v>351</v>
      </c>
      <c r="D26" s="312"/>
      <c r="E26" s="310"/>
      <c r="F26" s="310"/>
      <c r="G26" s="310"/>
      <c r="H26" s="310"/>
      <c r="I26" s="310"/>
      <c r="J26" s="312"/>
      <c r="K26" s="312"/>
      <c r="L26" s="310"/>
      <c r="M26" s="310"/>
    </row>
  </sheetData>
  <mergeCells count="24">
    <mergeCell ref="M20:M21"/>
    <mergeCell ref="A20:A21"/>
    <mergeCell ref="B20:B21"/>
    <mergeCell ref="D20:D21"/>
    <mergeCell ref="E20:E21"/>
    <mergeCell ref="F20:F21"/>
    <mergeCell ref="G20:G21"/>
    <mergeCell ref="H20:H21"/>
    <mergeCell ref="I20:I21"/>
    <mergeCell ref="J20:J21"/>
    <mergeCell ref="K20:K21"/>
    <mergeCell ref="L20:L21"/>
    <mergeCell ref="M25:M26"/>
    <mergeCell ref="A25:A26"/>
    <mergeCell ref="B25:B26"/>
    <mergeCell ref="D25:D26"/>
    <mergeCell ref="E25:E26"/>
    <mergeCell ref="F25:F26"/>
    <mergeCell ref="G25:G26"/>
    <mergeCell ref="H25:H26"/>
    <mergeCell ref="I25:I26"/>
    <mergeCell ref="J25:J26"/>
    <mergeCell ref="K25:K26"/>
    <mergeCell ref="L25:L2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57"/>
  <sheetViews>
    <sheetView showGridLines="0" showRowColHeaders="0" workbookViewId="0"/>
  </sheetViews>
  <sheetFormatPr baseColWidth="10" defaultRowHeight="15" x14ac:dyDescent="0.25"/>
  <cols>
    <col min="1" max="1" width="22" style="37" customWidth="1"/>
    <col min="2" max="2" width="19.140625" style="37" customWidth="1"/>
    <col min="3" max="3" width="22.42578125" style="37" customWidth="1"/>
    <col min="4" max="4" width="32.28515625" style="37" customWidth="1"/>
    <col min="5" max="5" width="31.5703125" style="37" customWidth="1"/>
    <col min="6" max="6" width="18.28515625" style="37" customWidth="1"/>
    <col min="7" max="16384" width="11.42578125" style="25"/>
  </cols>
  <sheetData>
    <row r="1" spans="1:6" x14ac:dyDescent="0.25">
      <c r="A1" s="25"/>
      <c r="B1" s="25"/>
      <c r="C1" s="25"/>
      <c r="D1" s="25"/>
      <c r="E1" s="25"/>
      <c r="F1" s="25"/>
    </row>
    <row r="2" spans="1:6" x14ac:dyDescent="0.25">
      <c r="A2" s="25"/>
      <c r="B2" s="25"/>
      <c r="C2" s="25"/>
      <c r="D2" s="25"/>
      <c r="E2" s="25"/>
      <c r="F2" s="25"/>
    </row>
    <row r="3" spans="1:6" x14ac:dyDescent="0.25">
      <c r="A3" s="25"/>
      <c r="B3" s="25"/>
      <c r="C3" s="25"/>
      <c r="D3" s="25"/>
      <c r="E3" s="25"/>
      <c r="F3" s="25"/>
    </row>
    <row r="4" spans="1:6" x14ac:dyDescent="0.25">
      <c r="A4" s="25"/>
      <c r="B4" s="25"/>
      <c r="C4" s="25"/>
      <c r="D4" s="25"/>
      <c r="E4" s="25"/>
      <c r="F4" s="25"/>
    </row>
    <row r="5" spans="1:6" x14ac:dyDescent="0.25">
      <c r="A5" s="25"/>
      <c r="B5" s="25"/>
      <c r="C5" s="25"/>
      <c r="D5" s="25"/>
      <c r="E5" s="25"/>
      <c r="F5" s="25"/>
    </row>
    <row r="6" spans="1:6" x14ac:dyDescent="0.25">
      <c r="A6" s="25"/>
      <c r="B6" s="25"/>
      <c r="C6" s="25"/>
      <c r="D6" s="25"/>
      <c r="E6" s="25"/>
      <c r="F6" s="25"/>
    </row>
    <row r="7" spans="1:6" x14ac:dyDescent="0.25">
      <c r="A7" s="25"/>
      <c r="B7" s="25"/>
      <c r="C7" s="25"/>
      <c r="D7" s="25"/>
      <c r="E7" s="25"/>
      <c r="F7" s="25"/>
    </row>
    <row r="8" spans="1:6" x14ac:dyDescent="0.25">
      <c r="A8" s="25"/>
      <c r="B8" s="25"/>
      <c r="C8" s="25"/>
      <c r="D8" s="25"/>
      <c r="E8" s="25"/>
      <c r="F8" s="25"/>
    </row>
    <row r="9" spans="1:6" x14ac:dyDescent="0.25">
      <c r="A9" s="25"/>
      <c r="B9" s="25"/>
      <c r="C9" s="25"/>
      <c r="D9" s="25"/>
      <c r="E9" s="25"/>
      <c r="F9" s="25"/>
    </row>
    <row r="10" spans="1:6" x14ac:dyDescent="0.25">
      <c r="A10" s="25"/>
      <c r="B10" s="25"/>
      <c r="C10" s="25"/>
      <c r="D10" s="25"/>
      <c r="E10" s="25"/>
      <c r="F10" s="25"/>
    </row>
    <row r="11" spans="1:6" x14ac:dyDescent="0.25">
      <c r="A11" s="25"/>
      <c r="B11" s="25"/>
      <c r="C11" s="25"/>
      <c r="D11" s="25"/>
      <c r="E11" s="25"/>
      <c r="F11" s="25"/>
    </row>
    <row r="12" spans="1:6" x14ac:dyDescent="0.25">
      <c r="A12" s="25"/>
      <c r="B12" s="25"/>
      <c r="C12" s="25"/>
      <c r="D12" s="25"/>
      <c r="E12" s="25"/>
      <c r="F12" s="25"/>
    </row>
    <row r="13" spans="1:6" x14ac:dyDescent="0.25">
      <c r="A13" s="25"/>
      <c r="B13" s="25"/>
      <c r="C13" s="25"/>
      <c r="D13" s="25"/>
      <c r="E13" s="25"/>
      <c r="F13" s="25"/>
    </row>
    <row r="14" spans="1:6" x14ac:dyDescent="0.25">
      <c r="A14" s="25"/>
      <c r="B14" s="25"/>
      <c r="C14" s="25"/>
      <c r="D14" s="25"/>
      <c r="E14" s="25"/>
      <c r="F14" s="25"/>
    </row>
    <row r="15" spans="1:6" ht="21" x14ac:dyDescent="0.25">
      <c r="A15" s="184" t="s">
        <v>746</v>
      </c>
      <c r="B15" s="184" t="s">
        <v>747</v>
      </c>
      <c r="C15" s="184" t="s">
        <v>744</v>
      </c>
      <c r="D15" s="184" t="s">
        <v>745</v>
      </c>
      <c r="E15" s="184" t="s">
        <v>748</v>
      </c>
      <c r="F15" s="185" t="s">
        <v>775</v>
      </c>
    </row>
    <row r="16" spans="1:6" ht="15.75" x14ac:dyDescent="0.25">
      <c r="A16" s="94"/>
      <c r="B16" s="94"/>
      <c r="C16" s="94"/>
      <c r="D16" s="94"/>
      <c r="E16" s="94"/>
      <c r="F16" s="94"/>
    </row>
    <row r="17" spans="1:11" x14ac:dyDescent="0.25">
      <c r="A17" s="25"/>
      <c r="B17" s="25"/>
      <c r="C17" s="25"/>
      <c r="D17" s="25"/>
      <c r="E17" s="25"/>
      <c r="F17" s="25"/>
    </row>
    <row r="18" spans="1:11" x14ac:dyDescent="0.25">
      <c r="A18" s="25"/>
      <c r="B18" s="25"/>
      <c r="C18" s="25"/>
      <c r="D18" s="25"/>
      <c r="E18" s="25"/>
      <c r="F18" s="25"/>
    </row>
    <row r="19" spans="1:11" x14ac:dyDescent="0.25">
      <c r="A19" s="25"/>
      <c r="B19" s="25"/>
      <c r="C19" s="25"/>
      <c r="D19" s="25"/>
      <c r="E19" s="25"/>
      <c r="F19" s="25"/>
    </row>
    <row r="20" spans="1:11" ht="36" customHeight="1" x14ac:dyDescent="0.25">
      <c r="A20" s="184" t="s">
        <v>746</v>
      </c>
      <c r="B20" s="184" t="s">
        <v>747</v>
      </c>
      <c r="C20" s="184" t="s">
        <v>744</v>
      </c>
      <c r="D20" s="184" t="s">
        <v>745</v>
      </c>
      <c r="E20" s="184" t="s">
        <v>748</v>
      </c>
      <c r="F20" s="185" t="s">
        <v>775</v>
      </c>
      <c r="H20" s="313" t="s">
        <v>864</v>
      </c>
      <c r="I20" s="313"/>
      <c r="J20" s="313"/>
      <c r="K20" s="313"/>
    </row>
    <row r="21" spans="1:11" ht="31.5" x14ac:dyDescent="0.25">
      <c r="A21" s="186" t="s">
        <v>749</v>
      </c>
      <c r="B21" s="94" t="s">
        <v>750</v>
      </c>
      <c r="C21" s="94" t="s">
        <v>751</v>
      </c>
      <c r="D21" s="94" t="s">
        <v>909</v>
      </c>
      <c r="E21" s="94" t="s">
        <v>756</v>
      </c>
      <c r="F21" s="93" t="s">
        <v>40</v>
      </c>
    </row>
    <row r="22" spans="1:11" ht="31.5" x14ac:dyDescent="0.25">
      <c r="A22" s="186" t="s">
        <v>752</v>
      </c>
      <c r="B22" s="94" t="s">
        <v>753</v>
      </c>
      <c r="C22" s="94" t="s">
        <v>754</v>
      </c>
      <c r="D22" s="94" t="s">
        <v>755</v>
      </c>
      <c r="E22" s="94" t="s">
        <v>757</v>
      </c>
      <c r="F22" s="93" t="s">
        <v>40</v>
      </c>
    </row>
    <row r="23" spans="1:11" ht="31.5" x14ac:dyDescent="0.25">
      <c r="A23" s="186" t="s">
        <v>758</v>
      </c>
      <c r="B23" s="94" t="s">
        <v>550</v>
      </c>
      <c r="C23" s="94" t="s">
        <v>751</v>
      </c>
      <c r="D23" s="94" t="s">
        <v>759</v>
      </c>
      <c r="E23" s="94" t="s">
        <v>760</v>
      </c>
      <c r="F23" s="93" t="s">
        <v>40</v>
      </c>
    </row>
    <row r="24" spans="1:11" ht="31.5" x14ac:dyDescent="0.25">
      <c r="A24" s="186" t="s">
        <v>761</v>
      </c>
      <c r="B24" s="94" t="s">
        <v>550</v>
      </c>
      <c r="C24" s="94" t="s">
        <v>754</v>
      </c>
      <c r="D24" s="94" t="s">
        <v>755</v>
      </c>
      <c r="E24" s="94" t="s">
        <v>762</v>
      </c>
      <c r="F24" s="93" t="s">
        <v>40</v>
      </c>
    </row>
    <row r="25" spans="1:11" ht="31.5" x14ac:dyDescent="0.25">
      <c r="A25" s="186" t="s">
        <v>763</v>
      </c>
      <c r="B25" s="94" t="s">
        <v>764</v>
      </c>
      <c r="C25" s="94" t="s">
        <v>754</v>
      </c>
      <c r="D25" s="94" t="s">
        <v>755</v>
      </c>
      <c r="E25" s="94" t="s">
        <v>765</v>
      </c>
      <c r="F25" s="93" t="s">
        <v>40</v>
      </c>
    </row>
    <row r="26" spans="1:11" ht="31.5" x14ac:dyDescent="0.25">
      <c r="A26" s="186" t="s">
        <v>766</v>
      </c>
      <c r="B26" s="94" t="s">
        <v>534</v>
      </c>
      <c r="C26" s="94" t="s">
        <v>751</v>
      </c>
      <c r="D26" s="94" t="s">
        <v>759</v>
      </c>
      <c r="E26" s="94" t="s">
        <v>767</v>
      </c>
      <c r="F26" s="93" t="s">
        <v>40</v>
      </c>
    </row>
    <row r="27" spans="1:11" ht="31.5" x14ac:dyDescent="0.25">
      <c r="A27" s="186" t="s">
        <v>768</v>
      </c>
      <c r="B27" s="94" t="s">
        <v>769</v>
      </c>
      <c r="C27" s="94" t="s">
        <v>770</v>
      </c>
      <c r="D27" s="94" t="s">
        <v>755</v>
      </c>
      <c r="E27" s="94" t="s">
        <v>771</v>
      </c>
      <c r="F27" s="93" t="s">
        <v>40</v>
      </c>
    </row>
    <row r="28" spans="1:11" ht="31.5" x14ac:dyDescent="0.25">
      <c r="A28" s="186" t="s">
        <v>772</v>
      </c>
      <c r="B28" s="94" t="s">
        <v>773</v>
      </c>
      <c r="C28" s="94" t="s">
        <v>754</v>
      </c>
      <c r="D28" s="94" t="s">
        <v>755</v>
      </c>
      <c r="E28" s="94" t="s">
        <v>774</v>
      </c>
      <c r="F28" s="93" t="s">
        <v>40</v>
      </c>
    </row>
    <row r="29" spans="1:11" ht="15.75" x14ac:dyDescent="0.25">
      <c r="A29" s="93"/>
      <c r="B29" s="94" t="s">
        <v>776</v>
      </c>
      <c r="C29" s="94"/>
      <c r="D29" s="94"/>
      <c r="E29" s="94"/>
      <c r="F29" s="93" t="s">
        <v>226</v>
      </c>
    </row>
    <row r="30" spans="1:11" ht="15.75" x14ac:dyDescent="0.25">
      <c r="A30" s="93"/>
      <c r="B30" s="94" t="s">
        <v>777</v>
      </c>
      <c r="C30" s="94"/>
      <c r="D30" s="94"/>
      <c r="E30" s="94"/>
      <c r="F30" s="93" t="s">
        <v>226</v>
      </c>
    </row>
    <row r="31" spans="1:11" ht="15.75" x14ac:dyDescent="0.25">
      <c r="A31" s="93"/>
      <c r="B31" s="94" t="s">
        <v>778</v>
      </c>
      <c r="C31" s="94"/>
      <c r="D31" s="94"/>
      <c r="E31" s="94"/>
      <c r="F31" s="93" t="s">
        <v>226</v>
      </c>
    </row>
    <row r="32" spans="1:11" ht="15.75" x14ac:dyDescent="0.25">
      <c r="A32" s="93"/>
      <c r="B32" s="94" t="s">
        <v>779</v>
      </c>
      <c r="C32" s="94"/>
      <c r="D32" s="94"/>
      <c r="E32" s="94"/>
      <c r="F32" s="93" t="s">
        <v>226</v>
      </c>
    </row>
    <row r="33" spans="1:6" ht="15.75" x14ac:dyDescent="0.25">
      <c r="A33" s="93"/>
      <c r="B33" s="94" t="s">
        <v>780</v>
      </c>
      <c r="C33" s="94"/>
      <c r="D33" s="94"/>
      <c r="E33" s="94"/>
      <c r="F33" s="93" t="s">
        <v>226</v>
      </c>
    </row>
    <row r="34" spans="1:6" ht="15.75" x14ac:dyDescent="0.25">
      <c r="A34" s="93"/>
      <c r="B34" s="94" t="s">
        <v>781</v>
      </c>
      <c r="C34" s="94"/>
      <c r="D34" s="94"/>
      <c r="E34" s="94"/>
      <c r="F34" s="93" t="s">
        <v>226</v>
      </c>
    </row>
    <row r="35" spans="1:6" ht="15.75" x14ac:dyDescent="0.25">
      <c r="A35" s="93"/>
      <c r="B35" s="94" t="s">
        <v>782</v>
      </c>
      <c r="C35" s="94"/>
      <c r="D35" s="94"/>
      <c r="E35" s="94"/>
      <c r="F35" s="93" t="s">
        <v>226</v>
      </c>
    </row>
    <row r="36" spans="1:6" ht="15.75" x14ac:dyDescent="0.25">
      <c r="A36" s="93"/>
      <c r="B36" s="94" t="s">
        <v>783</v>
      </c>
      <c r="C36" s="94"/>
      <c r="D36" s="94"/>
      <c r="E36" s="94"/>
      <c r="F36" s="93" t="s">
        <v>226</v>
      </c>
    </row>
    <row r="37" spans="1:6" ht="31.5" x14ac:dyDescent="0.25">
      <c r="A37" s="93"/>
      <c r="B37" s="94" t="s">
        <v>784</v>
      </c>
      <c r="C37" s="94"/>
      <c r="D37" s="94"/>
      <c r="E37" s="94"/>
      <c r="F37" s="93" t="s">
        <v>226</v>
      </c>
    </row>
    <row r="38" spans="1:6" ht="31.5" x14ac:dyDescent="0.25">
      <c r="A38" s="93"/>
      <c r="B38" s="94" t="s">
        <v>785</v>
      </c>
      <c r="C38" s="94"/>
      <c r="D38" s="94"/>
      <c r="E38" s="94"/>
      <c r="F38" s="93" t="s">
        <v>226</v>
      </c>
    </row>
    <row r="39" spans="1:6" ht="15.75" x14ac:dyDescent="0.25">
      <c r="A39" s="93"/>
      <c r="B39" s="94" t="s">
        <v>786</v>
      </c>
      <c r="C39" s="94"/>
      <c r="D39" s="94"/>
      <c r="E39" s="94"/>
      <c r="F39" s="93" t="s">
        <v>226</v>
      </c>
    </row>
    <row r="40" spans="1:6" ht="15.75" x14ac:dyDescent="0.25">
      <c r="A40" s="93"/>
      <c r="B40" s="94" t="s">
        <v>787</v>
      </c>
      <c r="C40" s="94"/>
      <c r="D40" s="94"/>
      <c r="E40" s="94"/>
      <c r="F40" s="93" t="s">
        <v>226</v>
      </c>
    </row>
    <row r="41" spans="1:6" ht="15.75" x14ac:dyDescent="0.25">
      <c r="A41" s="93"/>
      <c r="B41" s="94" t="s">
        <v>788</v>
      </c>
      <c r="C41" s="94"/>
      <c r="D41" s="94"/>
      <c r="E41" s="94"/>
      <c r="F41" s="93" t="s">
        <v>226</v>
      </c>
    </row>
    <row r="42" spans="1:6" ht="15.75" x14ac:dyDescent="0.25">
      <c r="A42" s="93"/>
      <c r="B42" s="94" t="s">
        <v>789</v>
      </c>
      <c r="C42" s="94"/>
      <c r="D42" s="94"/>
      <c r="E42" s="94"/>
      <c r="F42" s="93" t="s">
        <v>226</v>
      </c>
    </row>
    <row r="43" spans="1:6" ht="15.75" x14ac:dyDescent="0.25">
      <c r="A43" s="93"/>
      <c r="B43" s="94" t="s">
        <v>790</v>
      </c>
      <c r="C43" s="94"/>
      <c r="D43" s="94"/>
      <c r="E43" s="94"/>
      <c r="F43" s="93" t="s">
        <v>226</v>
      </c>
    </row>
    <row r="44" spans="1:6" ht="15.75" x14ac:dyDescent="0.25">
      <c r="A44" s="93"/>
      <c r="B44" s="94" t="s">
        <v>791</v>
      </c>
      <c r="C44" s="94"/>
      <c r="D44" s="94"/>
      <c r="E44" s="94"/>
      <c r="F44" s="93" t="s">
        <v>226</v>
      </c>
    </row>
    <row r="45" spans="1:6" ht="15.75" x14ac:dyDescent="0.25">
      <c r="A45" s="93"/>
      <c r="B45" s="94" t="s">
        <v>792</v>
      </c>
      <c r="C45" s="94"/>
      <c r="D45" s="94"/>
      <c r="E45" s="94"/>
      <c r="F45" s="93" t="s">
        <v>226</v>
      </c>
    </row>
    <row r="46" spans="1:6" ht="15.75" x14ac:dyDescent="0.25">
      <c r="A46" s="93"/>
      <c r="B46" s="94" t="s">
        <v>1040</v>
      </c>
      <c r="C46" s="94"/>
      <c r="D46" s="94"/>
      <c r="E46" s="94"/>
      <c r="F46" s="93" t="s">
        <v>226</v>
      </c>
    </row>
    <row r="47" spans="1:6" ht="15.75" x14ac:dyDescent="0.25">
      <c r="A47" s="93"/>
      <c r="B47" s="94" t="s">
        <v>793</v>
      </c>
      <c r="C47" s="94"/>
      <c r="D47" s="94"/>
      <c r="E47" s="94"/>
      <c r="F47" s="93" t="s">
        <v>226</v>
      </c>
    </row>
    <row r="48" spans="1:6" ht="31.5" x14ac:dyDescent="0.25">
      <c r="A48" s="93"/>
      <c r="B48" s="94" t="s">
        <v>794</v>
      </c>
      <c r="C48" s="94"/>
      <c r="D48" s="94"/>
      <c r="E48" s="94"/>
      <c r="F48" s="93" t="s">
        <v>226</v>
      </c>
    </row>
    <row r="49" spans="1:6" ht="15.75" x14ac:dyDescent="0.25">
      <c r="A49" s="93"/>
      <c r="B49" s="94" t="s">
        <v>795</v>
      </c>
      <c r="C49" s="94"/>
      <c r="D49" s="94"/>
      <c r="E49" s="94"/>
      <c r="F49" s="93" t="s">
        <v>226</v>
      </c>
    </row>
    <row r="50" spans="1:6" ht="15.75" x14ac:dyDescent="0.25">
      <c r="A50" s="93"/>
      <c r="B50" s="94" t="s">
        <v>796</v>
      </c>
      <c r="C50" s="94"/>
      <c r="D50" s="94"/>
      <c r="E50" s="94"/>
      <c r="F50" s="93" t="s">
        <v>226</v>
      </c>
    </row>
    <row r="51" spans="1:6" ht="15.75" x14ac:dyDescent="0.25">
      <c r="A51" s="93"/>
      <c r="B51" s="94" t="s">
        <v>797</v>
      </c>
      <c r="C51" s="94"/>
      <c r="D51" s="94"/>
      <c r="E51" s="94"/>
      <c r="F51" s="93" t="s">
        <v>226</v>
      </c>
    </row>
    <row r="52" spans="1:6" ht="15.75" x14ac:dyDescent="0.25">
      <c r="A52" s="93"/>
      <c r="B52" s="94" t="s">
        <v>798</v>
      </c>
      <c r="C52" s="94"/>
      <c r="D52" s="94"/>
      <c r="E52" s="94"/>
      <c r="F52" s="93" t="s">
        <v>226</v>
      </c>
    </row>
    <row r="53" spans="1:6" ht="15.75" x14ac:dyDescent="0.25">
      <c r="A53" s="93"/>
      <c r="B53" s="94" t="s">
        <v>799</v>
      </c>
      <c r="C53" s="94"/>
      <c r="D53" s="94"/>
      <c r="E53" s="94"/>
      <c r="F53" s="93" t="s">
        <v>226</v>
      </c>
    </row>
    <row r="54" spans="1:6" ht="15.75" x14ac:dyDescent="0.25">
      <c r="A54" s="93"/>
      <c r="B54" s="94" t="s">
        <v>800</v>
      </c>
      <c r="C54" s="94"/>
      <c r="D54" s="94"/>
      <c r="E54" s="94"/>
      <c r="F54" s="93" t="s">
        <v>226</v>
      </c>
    </row>
    <row r="55" spans="1:6" ht="15.75" x14ac:dyDescent="0.25">
      <c r="A55" s="93"/>
      <c r="B55" s="94" t="s">
        <v>801</v>
      </c>
      <c r="C55" s="94"/>
      <c r="D55" s="94"/>
      <c r="E55" s="94"/>
      <c r="F55" s="93" t="s">
        <v>226</v>
      </c>
    </row>
    <row r="56" spans="1:6" ht="15.75" x14ac:dyDescent="0.25">
      <c r="A56" s="93"/>
      <c r="B56" s="94" t="s">
        <v>802</v>
      </c>
      <c r="C56" s="94"/>
      <c r="D56" s="94"/>
      <c r="E56" s="94"/>
      <c r="F56" s="93" t="s">
        <v>226</v>
      </c>
    </row>
    <row r="57" spans="1:6" ht="15.75" x14ac:dyDescent="0.25">
      <c r="A57" s="93"/>
      <c r="B57" s="94" t="s">
        <v>803</v>
      </c>
      <c r="C57" s="94"/>
      <c r="D57" s="94"/>
      <c r="E57" s="94"/>
      <c r="F57" s="93" t="s">
        <v>226</v>
      </c>
    </row>
  </sheetData>
  <mergeCells count="1">
    <mergeCell ref="H20:K20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F109"/>
  <sheetViews>
    <sheetView showGridLines="0" showRowColHeaders="0" zoomScaleNormal="100" workbookViewId="0"/>
  </sheetViews>
  <sheetFormatPr baseColWidth="10" defaultRowHeight="15" x14ac:dyDescent="0.25"/>
  <cols>
    <col min="1" max="1" width="21.5703125" style="37" customWidth="1"/>
    <col min="2" max="2" width="27.42578125" style="37" customWidth="1"/>
    <col min="3" max="3" width="34.7109375" style="37" customWidth="1"/>
    <col min="4" max="4" width="17" style="37" customWidth="1"/>
    <col min="5" max="5" width="31.7109375" style="37" customWidth="1"/>
    <col min="6" max="16384" width="11.42578125" style="25"/>
  </cols>
  <sheetData>
    <row r="1" spans="1:5" x14ac:dyDescent="0.25">
      <c r="A1" s="25"/>
      <c r="B1" s="25"/>
      <c r="C1" s="25"/>
      <c r="D1" s="25"/>
      <c r="E1" s="25"/>
    </row>
    <row r="2" spans="1:5" x14ac:dyDescent="0.25">
      <c r="A2" s="25"/>
      <c r="B2" s="25"/>
      <c r="C2" s="25"/>
      <c r="D2" s="25"/>
      <c r="E2" s="25"/>
    </row>
    <row r="3" spans="1:5" x14ac:dyDescent="0.25">
      <c r="A3" s="25"/>
      <c r="B3" s="25"/>
      <c r="C3" s="25"/>
      <c r="D3" s="25"/>
      <c r="E3" s="25"/>
    </row>
    <row r="4" spans="1:5" x14ac:dyDescent="0.25">
      <c r="A4" s="25"/>
      <c r="B4" s="25"/>
      <c r="C4" s="25"/>
      <c r="D4" s="25"/>
      <c r="E4" s="25"/>
    </row>
    <row r="5" spans="1:5" x14ac:dyDescent="0.25">
      <c r="A5" s="25"/>
      <c r="B5" s="25"/>
      <c r="C5" s="25"/>
      <c r="D5" s="25"/>
      <c r="E5" s="25"/>
    </row>
    <row r="6" spans="1:5" x14ac:dyDescent="0.25">
      <c r="A6" s="25"/>
      <c r="B6" s="25"/>
      <c r="C6" s="25"/>
      <c r="D6" s="25"/>
      <c r="E6" s="25"/>
    </row>
    <row r="7" spans="1:5" x14ac:dyDescent="0.25">
      <c r="A7" s="25"/>
      <c r="B7" s="25"/>
      <c r="C7" s="25"/>
      <c r="D7" s="25"/>
      <c r="E7" s="25"/>
    </row>
    <row r="8" spans="1:5" x14ac:dyDescent="0.25">
      <c r="A8" s="25"/>
      <c r="B8" s="25"/>
      <c r="C8" s="25"/>
      <c r="D8" s="25"/>
      <c r="E8" s="25"/>
    </row>
    <row r="9" spans="1:5" x14ac:dyDescent="0.25">
      <c r="A9" s="25"/>
      <c r="B9" s="25"/>
      <c r="C9" s="25"/>
      <c r="D9" s="25"/>
      <c r="E9" s="25"/>
    </row>
    <row r="10" spans="1:5" x14ac:dyDescent="0.25">
      <c r="A10" s="25"/>
      <c r="B10" s="25"/>
      <c r="C10" s="25"/>
      <c r="D10" s="25"/>
      <c r="E10" s="25"/>
    </row>
    <row r="11" spans="1:5" x14ac:dyDescent="0.25">
      <c r="A11" s="25"/>
      <c r="B11" s="25"/>
      <c r="C11" s="25"/>
      <c r="D11" s="25"/>
      <c r="E11" s="25"/>
    </row>
    <row r="12" spans="1:5" x14ac:dyDescent="0.25">
      <c r="A12" s="25"/>
      <c r="B12" s="25"/>
      <c r="C12" s="25"/>
      <c r="D12" s="25"/>
      <c r="E12" s="25"/>
    </row>
    <row r="13" spans="1:5" x14ac:dyDescent="0.25">
      <c r="A13" s="25"/>
      <c r="B13" s="25"/>
      <c r="C13" s="25"/>
      <c r="D13" s="25"/>
      <c r="E13" s="25"/>
    </row>
    <row r="14" spans="1:5" x14ac:dyDescent="0.25">
      <c r="A14" s="25"/>
      <c r="B14" s="25"/>
      <c r="C14" s="25"/>
      <c r="D14" s="25"/>
      <c r="E14" s="25"/>
    </row>
    <row r="15" spans="1:5" ht="29.25" customHeight="1" x14ac:dyDescent="0.25">
      <c r="A15" s="187" t="s">
        <v>775</v>
      </c>
      <c r="B15" s="187" t="s">
        <v>3</v>
      </c>
      <c r="C15" s="187" t="s">
        <v>805</v>
      </c>
      <c r="D15" s="187" t="s">
        <v>804</v>
      </c>
      <c r="E15" s="187" t="s">
        <v>908</v>
      </c>
    </row>
    <row r="16" spans="1:5" ht="16.5" customHeight="1" x14ac:dyDescent="0.25">
      <c r="A16" s="38"/>
      <c r="B16" s="38"/>
      <c r="C16" s="38"/>
      <c r="D16" s="38"/>
      <c r="E16" s="38"/>
    </row>
    <row r="17" spans="1:5" ht="15.75" customHeight="1" x14ac:dyDescent="0.25">
      <c r="A17" s="188"/>
      <c r="B17" s="188"/>
      <c r="C17" s="188"/>
      <c r="D17" s="188"/>
      <c r="E17" s="188"/>
    </row>
    <row r="18" spans="1:5" x14ac:dyDescent="0.25">
      <c r="A18" s="188"/>
      <c r="B18" s="188"/>
      <c r="C18" s="188"/>
      <c r="D18" s="188"/>
      <c r="E18" s="188"/>
    </row>
    <row r="19" spans="1:5" ht="15.75" customHeight="1" x14ac:dyDescent="0.25">
      <c r="A19" s="188"/>
      <c r="B19" s="188"/>
      <c r="C19" s="188"/>
      <c r="D19" s="188"/>
      <c r="E19" s="188"/>
    </row>
    <row r="20" spans="1:5" ht="30.75" customHeight="1" x14ac:dyDescent="0.25">
      <c r="A20" s="189" t="s">
        <v>775</v>
      </c>
      <c r="B20" s="189" t="s">
        <v>3</v>
      </c>
      <c r="C20" s="189" t="s">
        <v>805</v>
      </c>
      <c r="D20" s="189" t="s">
        <v>804</v>
      </c>
      <c r="E20" s="189" t="s">
        <v>908</v>
      </c>
    </row>
    <row r="21" spans="1:5" ht="35.25" customHeight="1" x14ac:dyDescent="0.25">
      <c r="A21" s="94" t="s">
        <v>819</v>
      </c>
      <c r="B21" s="94" t="s">
        <v>15</v>
      </c>
      <c r="C21" s="94" t="s">
        <v>821</v>
      </c>
      <c r="D21" s="94">
        <v>201</v>
      </c>
      <c r="E21" s="94" t="s">
        <v>823</v>
      </c>
    </row>
    <row r="22" spans="1:5" ht="16.5" customHeight="1" x14ac:dyDescent="0.25">
      <c r="A22" s="94" t="s">
        <v>95</v>
      </c>
      <c r="B22" s="94" t="s">
        <v>853</v>
      </c>
      <c r="C22" s="94" t="s">
        <v>854</v>
      </c>
      <c r="D22" s="94"/>
      <c r="E22" s="94">
        <v>659814169</v>
      </c>
    </row>
    <row r="23" spans="1:5" ht="31.5" x14ac:dyDescent="0.25">
      <c r="A23" s="94" t="s">
        <v>874</v>
      </c>
      <c r="B23" s="190"/>
      <c r="C23" s="94"/>
      <c r="D23" s="94">
        <v>257</v>
      </c>
      <c r="E23" s="94"/>
    </row>
    <row r="24" spans="1:5" ht="31.5" x14ac:dyDescent="0.25">
      <c r="A24" s="94" t="s">
        <v>873</v>
      </c>
      <c r="B24" s="94"/>
      <c r="C24" s="94"/>
      <c r="D24" s="94">
        <v>245</v>
      </c>
      <c r="E24" s="94"/>
    </row>
    <row r="25" spans="1:5" ht="16.5" customHeight="1" x14ac:dyDescent="0.25">
      <c r="A25" s="94" t="s">
        <v>316</v>
      </c>
      <c r="B25" s="94"/>
      <c r="C25" s="94"/>
      <c r="D25" s="94">
        <v>264</v>
      </c>
      <c r="E25" s="94"/>
    </row>
    <row r="26" spans="1:5" ht="16.5" customHeight="1" x14ac:dyDescent="0.25">
      <c r="A26" s="94" t="s">
        <v>863</v>
      </c>
      <c r="B26" s="94"/>
      <c r="C26" s="94"/>
      <c r="D26" s="191"/>
      <c r="E26" s="94">
        <v>946355500</v>
      </c>
    </row>
    <row r="27" spans="1:5" ht="16.5" customHeight="1" x14ac:dyDescent="0.25">
      <c r="A27" s="94" t="s">
        <v>865</v>
      </c>
      <c r="B27" s="94"/>
      <c r="C27" s="94"/>
      <c r="D27" s="191"/>
      <c r="E27" s="94">
        <v>968502080</v>
      </c>
    </row>
    <row r="28" spans="1:5" ht="34.5" customHeight="1" x14ac:dyDescent="0.25">
      <c r="A28" s="94" t="s">
        <v>866</v>
      </c>
      <c r="B28" s="94"/>
      <c r="C28" s="94"/>
      <c r="D28" s="191"/>
      <c r="E28" s="94">
        <v>981661250</v>
      </c>
    </row>
    <row r="29" spans="1:5" ht="16.5" customHeight="1" x14ac:dyDescent="0.25">
      <c r="A29" s="94" t="s">
        <v>868</v>
      </c>
      <c r="B29" s="94"/>
      <c r="C29" s="94"/>
      <c r="D29" s="94">
        <v>234</v>
      </c>
      <c r="E29" s="94"/>
    </row>
    <row r="30" spans="1:5" ht="16.5" customHeight="1" x14ac:dyDescent="0.25">
      <c r="A30" s="94" t="s">
        <v>849</v>
      </c>
      <c r="B30" s="94" t="s">
        <v>850</v>
      </c>
      <c r="C30" s="94"/>
      <c r="D30" s="94">
        <v>9016</v>
      </c>
      <c r="E30" s="94">
        <v>630441977</v>
      </c>
    </row>
    <row r="31" spans="1:5" ht="36" customHeight="1" x14ac:dyDescent="0.25">
      <c r="A31" s="192" t="s">
        <v>886</v>
      </c>
      <c r="B31" s="191"/>
      <c r="C31" s="191"/>
      <c r="D31" s="192">
        <v>235</v>
      </c>
      <c r="E31" s="191"/>
    </row>
    <row r="32" spans="1:5" ht="15.75" x14ac:dyDescent="0.25">
      <c r="A32" s="94" t="s">
        <v>876</v>
      </c>
      <c r="B32" s="94"/>
      <c r="C32" s="94"/>
      <c r="D32" s="94">
        <v>252</v>
      </c>
      <c r="E32" s="94"/>
    </row>
    <row r="33" spans="1:6" ht="15.75" x14ac:dyDescent="0.25">
      <c r="A33" s="94" t="s">
        <v>315</v>
      </c>
      <c r="B33" s="94"/>
      <c r="C33" s="94"/>
      <c r="D33" s="94">
        <v>266</v>
      </c>
      <c r="E33" s="94"/>
    </row>
    <row r="34" spans="1:6" ht="31.5" x14ac:dyDescent="0.25">
      <c r="A34" s="94" t="s">
        <v>878</v>
      </c>
      <c r="B34" s="94"/>
      <c r="C34" s="94"/>
      <c r="D34" s="94">
        <v>267</v>
      </c>
      <c r="E34" s="94"/>
    </row>
    <row r="35" spans="1:6" ht="15.75" x14ac:dyDescent="0.25">
      <c r="A35" s="94" t="s">
        <v>872</v>
      </c>
      <c r="B35" s="94"/>
      <c r="C35" s="94"/>
      <c r="D35" s="94">
        <v>248</v>
      </c>
      <c r="E35" s="94"/>
    </row>
    <row r="36" spans="1:6" ht="19.5" customHeight="1" x14ac:dyDescent="0.25">
      <c r="A36" s="94" t="s">
        <v>869</v>
      </c>
      <c r="B36" s="94"/>
      <c r="C36" s="94"/>
      <c r="D36" s="94">
        <v>232</v>
      </c>
      <c r="E36" s="94"/>
    </row>
    <row r="37" spans="1:6" ht="19.5" customHeight="1" x14ac:dyDescent="0.25">
      <c r="A37" s="94" t="s">
        <v>808</v>
      </c>
      <c r="B37" s="94" t="s">
        <v>839</v>
      </c>
      <c r="C37" s="94"/>
      <c r="D37" s="94">
        <v>250</v>
      </c>
      <c r="E37" s="94"/>
    </row>
    <row r="38" spans="1:6" ht="16.5" customHeight="1" x14ac:dyDescent="0.25">
      <c r="A38" s="94" t="s">
        <v>808</v>
      </c>
      <c r="B38" s="94" t="s">
        <v>37</v>
      </c>
      <c r="C38" s="94" t="s">
        <v>813</v>
      </c>
      <c r="D38" s="94">
        <v>291</v>
      </c>
      <c r="E38" s="94">
        <v>682680335</v>
      </c>
    </row>
    <row r="39" spans="1:6" ht="16.5" customHeight="1" x14ac:dyDescent="0.25">
      <c r="A39" s="94" t="s">
        <v>808</v>
      </c>
      <c r="B39" s="94" t="s">
        <v>38</v>
      </c>
      <c r="C39" s="94" t="s">
        <v>840</v>
      </c>
      <c r="D39" s="94">
        <v>93</v>
      </c>
      <c r="E39" s="94"/>
    </row>
    <row r="40" spans="1:6" ht="16.5" customHeight="1" x14ac:dyDescent="0.25">
      <c r="A40" s="94" t="s">
        <v>808</v>
      </c>
      <c r="B40" s="94" t="s">
        <v>239</v>
      </c>
      <c r="C40" s="94" t="s">
        <v>840</v>
      </c>
      <c r="D40" s="94">
        <v>219</v>
      </c>
      <c r="E40" s="94">
        <v>658425096</v>
      </c>
    </row>
    <row r="41" spans="1:6" ht="18" customHeight="1" x14ac:dyDescent="0.25">
      <c r="A41" s="94" t="s">
        <v>808</v>
      </c>
      <c r="B41" s="94" t="s">
        <v>841</v>
      </c>
      <c r="C41" s="94" t="s">
        <v>842</v>
      </c>
      <c r="D41" s="94">
        <v>206</v>
      </c>
      <c r="E41" s="94"/>
    </row>
    <row r="42" spans="1:6" ht="16.5" customHeight="1" x14ac:dyDescent="0.25">
      <c r="A42" s="94" t="s">
        <v>808</v>
      </c>
      <c r="B42" s="94" t="s">
        <v>40</v>
      </c>
      <c r="C42" s="94"/>
      <c r="D42" s="94">
        <v>261</v>
      </c>
      <c r="E42" s="94"/>
    </row>
    <row r="43" spans="1:6" ht="16.5" customHeight="1" x14ac:dyDescent="0.25">
      <c r="A43" s="94" t="s">
        <v>870</v>
      </c>
      <c r="B43" s="94" t="s">
        <v>36</v>
      </c>
      <c r="C43" s="94" t="s">
        <v>871</v>
      </c>
      <c r="D43" s="94">
        <v>250</v>
      </c>
      <c r="E43" s="94"/>
    </row>
    <row r="44" spans="1:6" ht="16.5" customHeight="1" x14ac:dyDescent="0.25">
      <c r="A44" s="94" t="s">
        <v>61</v>
      </c>
      <c r="B44" s="94" t="s">
        <v>855</v>
      </c>
      <c r="C44" s="94" t="s">
        <v>856</v>
      </c>
      <c r="D44" s="94"/>
      <c r="E44" s="94">
        <v>636289017</v>
      </c>
      <c r="F44" s="32"/>
    </row>
    <row r="45" spans="1:6" ht="15.75" x14ac:dyDescent="0.25">
      <c r="A45" s="94" t="s">
        <v>61</v>
      </c>
      <c r="B45" s="94" t="s">
        <v>857</v>
      </c>
      <c r="C45" s="94" t="s">
        <v>858</v>
      </c>
      <c r="D45" s="94"/>
      <c r="E45" s="94">
        <v>607556997</v>
      </c>
      <c r="F45" s="32"/>
    </row>
    <row r="46" spans="1:6" ht="16.5" customHeight="1" x14ac:dyDescent="0.25">
      <c r="A46" s="94" t="s">
        <v>861</v>
      </c>
      <c r="B46" s="94" t="s">
        <v>862</v>
      </c>
      <c r="C46" s="94"/>
      <c r="D46" s="94">
        <v>333</v>
      </c>
      <c r="E46" s="94"/>
      <c r="F46" s="32"/>
    </row>
    <row r="47" spans="1:6" ht="18.75" x14ac:dyDescent="0.25">
      <c r="A47" s="193" t="s">
        <v>893</v>
      </c>
      <c r="B47" s="193" t="s">
        <v>894</v>
      </c>
      <c r="C47" s="193" t="s">
        <v>898</v>
      </c>
      <c r="D47" s="194" t="s">
        <v>895</v>
      </c>
      <c r="E47" s="193"/>
      <c r="F47" s="32"/>
    </row>
    <row r="48" spans="1:6" ht="56.25" x14ac:dyDescent="0.25">
      <c r="A48" s="193" t="s">
        <v>893</v>
      </c>
      <c r="B48" s="193" t="s">
        <v>904</v>
      </c>
      <c r="C48" s="193" t="s">
        <v>898</v>
      </c>
      <c r="D48" s="193"/>
      <c r="E48" s="193">
        <v>900100852</v>
      </c>
      <c r="F48" s="32"/>
    </row>
    <row r="49" spans="1:6" ht="41.25" customHeight="1" x14ac:dyDescent="0.25">
      <c r="A49" s="193" t="s">
        <v>893</v>
      </c>
      <c r="B49" s="193"/>
      <c r="C49" s="193" t="s">
        <v>898</v>
      </c>
      <c r="D49" s="193">
        <v>112</v>
      </c>
      <c r="E49" s="193"/>
      <c r="F49" s="32"/>
    </row>
    <row r="50" spans="1:6" ht="35.25" customHeight="1" x14ac:dyDescent="0.25">
      <c r="A50" s="193" t="s">
        <v>893</v>
      </c>
      <c r="B50" s="193" t="s">
        <v>896</v>
      </c>
      <c r="C50" s="193" t="s">
        <v>898</v>
      </c>
      <c r="D50" s="193"/>
      <c r="E50" s="193">
        <v>935517285</v>
      </c>
      <c r="F50" s="32"/>
    </row>
    <row r="51" spans="1:6" ht="37.5" x14ac:dyDescent="0.25">
      <c r="A51" s="193" t="s">
        <v>893</v>
      </c>
      <c r="B51" s="193" t="s">
        <v>897</v>
      </c>
      <c r="C51" s="193" t="s">
        <v>898</v>
      </c>
      <c r="D51" s="193"/>
      <c r="E51" s="193">
        <v>934705320</v>
      </c>
      <c r="F51" s="32"/>
    </row>
    <row r="52" spans="1:6" ht="16.5" customHeight="1" x14ac:dyDescent="0.25">
      <c r="A52" s="195" t="s">
        <v>893</v>
      </c>
      <c r="B52" s="195" t="s">
        <v>900</v>
      </c>
      <c r="C52" s="195" t="s">
        <v>899</v>
      </c>
      <c r="D52" s="195"/>
      <c r="E52" s="195">
        <v>932348964</v>
      </c>
      <c r="F52" s="32"/>
    </row>
    <row r="53" spans="1:6" ht="37.5" x14ac:dyDescent="0.25">
      <c r="A53" s="195" t="s">
        <v>893</v>
      </c>
      <c r="B53" s="195" t="s">
        <v>900</v>
      </c>
      <c r="C53" s="195" t="s">
        <v>899</v>
      </c>
      <c r="D53" s="195"/>
      <c r="E53" s="195">
        <v>609080183</v>
      </c>
    </row>
    <row r="54" spans="1:6" ht="112.5" x14ac:dyDescent="0.25">
      <c r="A54" s="195" t="s">
        <v>893</v>
      </c>
      <c r="B54" s="195" t="s">
        <v>902</v>
      </c>
      <c r="C54" s="195" t="s">
        <v>901</v>
      </c>
      <c r="D54" s="195"/>
      <c r="E54" s="195">
        <v>932234733</v>
      </c>
    </row>
    <row r="55" spans="1:6" ht="37.5" x14ac:dyDescent="0.25">
      <c r="A55" s="195" t="s">
        <v>893</v>
      </c>
      <c r="B55" s="195" t="s">
        <v>903</v>
      </c>
      <c r="C55" s="195" t="s">
        <v>901</v>
      </c>
      <c r="D55" s="195"/>
      <c r="E55" s="195">
        <v>900100852</v>
      </c>
    </row>
    <row r="56" spans="1:6" ht="15.75" x14ac:dyDescent="0.25">
      <c r="A56" s="94" t="s">
        <v>262</v>
      </c>
      <c r="B56" s="94"/>
      <c r="C56" s="94"/>
      <c r="D56" s="94">
        <v>242</v>
      </c>
      <c r="E56" s="196" t="s">
        <v>852</v>
      </c>
    </row>
    <row r="57" spans="1:6" ht="15.75" x14ac:dyDescent="0.25">
      <c r="A57" s="94" t="s">
        <v>867</v>
      </c>
      <c r="B57" s="94"/>
      <c r="C57" s="94"/>
      <c r="D57" s="94">
        <v>258</v>
      </c>
      <c r="E57" s="94"/>
    </row>
    <row r="58" spans="1:6" ht="15.75" x14ac:dyDescent="0.25">
      <c r="A58" s="94" t="s">
        <v>818</v>
      </c>
      <c r="B58" s="94"/>
      <c r="C58" s="94"/>
      <c r="D58" s="94"/>
      <c r="E58" s="94">
        <v>932896000</v>
      </c>
    </row>
    <row r="59" spans="1:6" ht="15.75" x14ac:dyDescent="0.25">
      <c r="A59" s="94" t="s">
        <v>226</v>
      </c>
      <c r="B59" s="94" t="s">
        <v>836</v>
      </c>
      <c r="C59" s="94" t="s">
        <v>843</v>
      </c>
      <c r="D59" s="94">
        <v>298</v>
      </c>
      <c r="E59" s="94">
        <v>60946762</v>
      </c>
    </row>
    <row r="60" spans="1:6" ht="15.75" x14ac:dyDescent="0.25">
      <c r="A60" s="94" t="s">
        <v>226</v>
      </c>
      <c r="B60" s="94" t="s">
        <v>28</v>
      </c>
      <c r="C60" s="94" t="s">
        <v>837</v>
      </c>
      <c r="D60" s="94">
        <v>268</v>
      </c>
      <c r="E60" s="94"/>
    </row>
    <row r="61" spans="1:6" ht="15.75" x14ac:dyDescent="0.25">
      <c r="A61" s="94" t="s">
        <v>226</v>
      </c>
      <c r="B61" s="94" t="s">
        <v>27</v>
      </c>
      <c r="C61" s="94" t="s">
        <v>838</v>
      </c>
      <c r="D61" s="94">
        <v>205</v>
      </c>
      <c r="E61" s="94"/>
    </row>
    <row r="62" spans="1:6" ht="16.5" customHeight="1" x14ac:dyDescent="0.25">
      <c r="A62" s="94" t="s">
        <v>226</v>
      </c>
      <c r="B62" s="94" t="s">
        <v>812</v>
      </c>
      <c r="C62" s="94" t="s">
        <v>844</v>
      </c>
      <c r="D62" s="94">
        <v>292</v>
      </c>
      <c r="E62" s="94"/>
    </row>
    <row r="63" spans="1:6" ht="15.75" x14ac:dyDescent="0.25">
      <c r="A63" s="94" t="s">
        <v>825</v>
      </c>
      <c r="B63" s="94" t="s">
        <v>826</v>
      </c>
      <c r="C63" s="94" t="s">
        <v>827</v>
      </c>
      <c r="D63" s="94">
        <v>254</v>
      </c>
      <c r="E63" s="94">
        <v>609561130</v>
      </c>
    </row>
    <row r="64" spans="1:6" ht="15.75" x14ac:dyDescent="0.25">
      <c r="A64" s="94" t="s">
        <v>825</v>
      </c>
      <c r="B64" s="94" t="s">
        <v>828</v>
      </c>
      <c r="C64" s="94" t="s">
        <v>829</v>
      </c>
      <c r="D64" s="94">
        <v>255</v>
      </c>
      <c r="E64" s="94"/>
    </row>
    <row r="65" spans="1:5" ht="15.75" x14ac:dyDescent="0.25">
      <c r="A65" s="94" t="s">
        <v>825</v>
      </c>
      <c r="B65" s="94" t="s">
        <v>21</v>
      </c>
      <c r="C65" s="94" t="s">
        <v>830</v>
      </c>
      <c r="D65" s="94">
        <v>228</v>
      </c>
      <c r="E65" s="94">
        <v>630438429</v>
      </c>
    </row>
    <row r="66" spans="1:5" ht="15.75" x14ac:dyDescent="0.25">
      <c r="A66" s="94" t="s">
        <v>825</v>
      </c>
      <c r="B66" s="94" t="s">
        <v>811</v>
      </c>
      <c r="C66" s="94" t="s">
        <v>831</v>
      </c>
      <c r="D66" s="94">
        <v>230</v>
      </c>
      <c r="E66" s="94">
        <v>609867611</v>
      </c>
    </row>
    <row r="67" spans="1:5" ht="15.75" x14ac:dyDescent="0.25">
      <c r="A67" s="94" t="s">
        <v>825</v>
      </c>
      <c r="B67" s="94" t="s">
        <v>19</v>
      </c>
      <c r="C67" s="94" t="s">
        <v>832</v>
      </c>
      <c r="D67" s="94">
        <v>110</v>
      </c>
      <c r="E67" s="94">
        <v>630438379</v>
      </c>
    </row>
    <row r="68" spans="1:5" ht="15.75" x14ac:dyDescent="0.25">
      <c r="A68" s="94" t="s">
        <v>825</v>
      </c>
      <c r="B68" s="197" t="s">
        <v>18</v>
      </c>
      <c r="C68" s="94" t="s">
        <v>833</v>
      </c>
      <c r="D68" s="94">
        <v>231</v>
      </c>
      <c r="E68" s="94">
        <v>630439653</v>
      </c>
    </row>
    <row r="69" spans="1:5" ht="15.75" x14ac:dyDescent="0.25">
      <c r="A69" s="94" t="s">
        <v>825</v>
      </c>
      <c r="B69" s="94" t="s">
        <v>20</v>
      </c>
      <c r="C69" s="94"/>
      <c r="D69" s="94">
        <v>215</v>
      </c>
      <c r="E69" s="94"/>
    </row>
    <row r="70" spans="1:5" ht="16.5" customHeight="1" x14ac:dyDescent="0.25">
      <c r="A70" s="94" t="s">
        <v>816</v>
      </c>
      <c r="B70" s="94" t="s">
        <v>851</v>
      </c>
      <c r="C70" s="94"/>
      <c r="D70" s="94">
        <v>9019</v>
      </c>
      <c r="E70" s="94">
        <v>630441588</v>
      </c>
    </row>
    <row r="71" spans="1:5" ht="31.5" x14ac:dyDescent="0.25">
      <c r="A71" s="94" t="s">
        <v>875</v>
      </c>
      <c r="B71" s="94"/>
      <c r="C71" s="94"/>
      <c r="D71" s="94">
        <v>239</v>
      </c>
      <c r="E71" s="94"/>
    </row>
    <row r="72" spans="1:5" ht="15.75" x14ac:dyDescent="0.25">
      <c r="A72" s="94" t="s">
        <v>860</v>
      </c>
      <c r="B72" s="94"/>
      <c r="C72" s="94"/>
      <c r="D72" s="94">
        <v>274</v>
      </c>
      <c r="E72" s="94"/>
    </row>
    <row r="73" spans="1:5" ht="15.75" x14ac:dyDescent="0.25">
      <c r="A73" s="94" t="s">
        <v>860</v>
      </c>
      <c r="B73" s="94"/>
      <c r="C73" s="94"/>
      <c r="D73" s="94">
        <v>247</v>
      </c>
      <c r="E73" s="94"/>
    </row>
    <row r="74" spans="1:5" ht="15.75" x14ac:dyDescent="0.25">
      <c r="A74" s="94" t="s">
        <v>834</v>
      </c>
      <c r="B74" s="94" t="s">
        <v>39</v>
      </c>
      <c r="C74" s="94" t="s">
        <v>822</v>
      </c>
      <c r="D74" s="94">
        <v>270</v>
      </c>
      <c r="E74" s="94">
        <v>618956239</v>
      </c>
    </row>
    <row r="75" spans="1:5" ht="15.75" x14ac:dyDescent="0.25">
      <c r="A75" s="94" t="s">
        <v>834</v>
      </c>
      <c r="B75" s="94" t="s">
        <v>17</v>
      </c>
      <c r="C75" s="94" t="s">
        <v>822</v>
      </c>
      <c r="D75" s="94">
        <v>296</v>
      </c>
      <c r="E75" s="94" t="s">
        <v>835</v>
      </c>
    </row>
    <row r="76" spans="1:5" ht="15.75" x14ac:dyDescent="0.25">
      <c r="A76" s="94" t="s">
        <v>834</v>
      </c>
      <c r="B76" s="94" t="s">
        <v>809</v>
      </c>
      <c r="C76" s="94" t="s">
        <v>824</v>
      </c>
      <c r="D76" s="94">
        <v>249</v>
      </c>
      <c r="E76" s="94">
        <v>630442333</v>
      </c>
    </row>
    <row r="77" spans="1:5" ht="15.75" x14ac:dyDescent="0.25">
      <c r="A77" s="94" t="s">
        <v>814</v>
      </c>
      <c r="B77" s="94" t="s">
        <v>845</v>
      </c>
      <c r="C77" s="94" t="s">
        <v>846</v>
      </c>
      <c r="D77" s="94">
        <v>195</v>
      </c>
      <c r="E77" s="94">
        <v>629610626</v>
      </c>
    </row>
    <row r="78" spans="1:5" ht="15.75" x14ac:dyDescent="0.25">
      <c r="A78" s="94" t="s">
        <v>814</v>
      </c>
      <c r="B78" s="94" t="s">
        <v>815</v>
      </c>
      <c r="C78" s="94"/>
      <c r="D78" s="94">
        <v>195</v>
      </c>
      <c r="E78" s="94">
        <v>630438122</v>
      </c>
    </row>
    <row r="79" spans="1:5" ht="15.75" x14ac:dyDescent="0.25">
      <c r="A79" s="94" t="s">
        <v>814</v>
      </c>
      <c r="B79" s="94" t="s">
        <v>847</v>
      </c>
      <c r="C79" s="94" t="s">
        <v>93</v>
      </c>
      <c r="D79" s="94">
        <v>195</v>
      </c>
      <c r="E79" s="94">
        <v>630438122</v>
      </c>
    </row>
    <row r="80" spans="1:5" ht="15.75" x14ac:dyDescent="0.25">
      <c r="A80" s="94" t="s">
        <v>814</v>
      </c>
      <c r="B80" s="94" t="s">
        <v>848</v>
      </c>
      <c r="C80" s="94" t="s">
        <v>93</v>
      </c>
      <c r="D80" s="94">
        <v>195</v>
      </c>
      <c r="E80" s="94">
        <v>630438122</v>
      </c>
    </row>
    <row r="81" spans="1:5" ht="31.5" x14ac:dyDescent="0.25">
      <c r="A81" s="94" t="s">
        <v>882</v>
      </c>
      <c r="B81" s="94"/>
      <c r="C81" s="94"/>
      <c r="D81" s="94">
        <v>220</v>
      </c>
      <c r="E81" s="94"/>
    </row>
    <row r="82" spans="1:5" ht="15.75" x14ac:dyDescent="0.25">
      <c r="A82" s="94" t="s">
        <v>880</v>
      </c>
      <c r="B82" s="94"/>
      <c r="C82" s="94"/>
      <c r="D82" s="94">
        <v>304</v>
      </c>
      <c r="E82" s="94"/>
    </row>
    <row r="83" spans="1:5" ht="47.25" x14ac:dyDescent="0.25">
      <c r="A83" s="94" t="s">
        <v>883</v>
      </c>
      <c r="B83" s="94"/>
      <c r="C83" s="94"/>
      <c r="D83" s="94">
        <v>221</v>
      </c>
      <c r="E83" s="94"/>
    </row>
    <row r="84" spans="1:5" ht="31.5" x14ac:dyDescent="0.25">
      <c r="A84" s="192" t="s">
        <v>890</v>
      </c>
      <c r="B84" s="191"/>
      <c r="C84" s="191"/>
      <c r="D84" s="192">
        <v>246</v>
      </c>
      <c r="E84" s="191"/>
    </row>
    <row r="85" spans="1:5" ht="31.5" x14ac:dyDescent="0.25">
      <c r="A85" s="192" t="s">
        <v>889</v>
      </c>
      <c r="B85" s="191"/>
      <c r="C85" s="191"/>
      <c r="D85" s="192">
        <v>244</v>
      </c>
      <c r="E85" s="191"/>
    </row>
    <row r="86" spans="1:5" ht="31.5" x14ac:dyDescent="0.25">
      <c r="A86" s="192" t="s">
        <v>888</v>
      </c>
      <c r="B86" s="191"/>
      <c r="C86" s="191"/>
      <c r="D86" s="192">
        <v>238</v>
      </c>
      <c r="E86" s="191"/>
    </row>
    <row r="87" spans="1:5" ht="31.5" x14ac:dyDescent="0.25">
      <c r="A87" s="192" t="s">
        <v>887</v>
      </c>
      <c r="B87" s="191"/>
      <c r="C87" s="191"/>
      <c r="D87" s="192">
        <v>236</v>
      </c>
      <c r="E87" s="191"/>
    </row>
    <row r="88" spans="1:5" ht="31.5" x14ac:dyDescent="0.25">
      <c r="A88" s="192" t="s">
        <v>891</v>
      </c>
      <c r="B88" s="191"/>
      <c r="C88" s="191"/>
      <c r="D88" s="192">
        <v>276</v>
      </c>
      <c r="E88" s="191"/>
    </row>
    <row r="89" spans="1:5" ht="31.5" x14ac:dyDescent="0.25">
      <c r="A89" s="94" t="s">
        <v>884</v>
      </c>
      <c r="B89" s="94"/>
      <c r="C89" s="94"/>
      <c r="D89" s="94">
        <v>272</v>
      </c>
      <c r="E89" s="94"/>
    </row>
    <row r="90" spans="1:5" ht="31.5" x14ac:dyDescent="0.25">
      <c r="A90" s="192" t="s">
        <v>885</v>
      </c>
      <c r="B90" s="191"/>
      <c r="C90" s="191"/>
      <c r="D90" s="192">
        <v>229</v>
      </c>
      <c r="E90" s="191"/>
    </row>
    <row r="91" spans="1:5" ht="47.25" x14ac:dyDescent="0.25">
      <c r="A91" s="192" t="s">
        <v>892</v>
      </c>
      <c r="B91" s="191"/>
      <c r="C91" s="191"/>
      <c r="D91" s="192">
        <v>233</v>
      </c>
      <c r="E91" s="191"/>
    </row>
    <row r="92" spans="1:5" ht="15.75" x14ac:dyDescent="0.25">
      <c r="A92" s="94" t="s">
        <v>859</v>
      </c>
      <c r="B92" s="94"/>
      <c r="C92" s="94"/>
      <c r="D92" s="94">
        <v>304</v>
      </c>
      <c r="E92" s="94"/>
    </row>
    <row r="93" spans="1:5" ht="31.5" x14ac:dyDescent="0.25">
      <c r="A93" s="94" t="s">
        <v>877</v>
      </c>
      <c r="B93" s="94"/>
      <c r="C93" s="94"/>
      <c r="D93" s="94">
        <v>259</v>
      </c>
      <c r="E93" s="94"/>
    </row>
    <row r="94" spans="1:5" ht="15.75" x14ac:dyDescent="0.25">
      <c r="A94" s="94" t="s">
        <v>810</v>
      </c>
      <c r="B94" s="94" t="s">
        <v>35</v>
      </c>
      <c r="C94" s="94" t="s">
        <v>820</v>
      </c>
      <c r="D94" s="94">
        <v>256</v>
      </c>
      <c r="E94" s="94">
        <v>620575440</v>
      </c>
    </row>
    <row r="95" spans="1:5" ht="15.75" x14ac:dyDescent="0.25">
      <c r="A95" s="94" t="s">
        <v>352</v>
      </c>
      <c r="B95" s="94"/>
      <c r="C95" s="94"/>
      <c r="D95" s="94">
        <v>227</v>
      </c>
      <c r="E95" s="94"/>
    </row>
    <row r="96" spans="1:5" ht="15.75" x14ac:dyDescent="0.25">
      <c r="A96" s="94" t="s">
        <v>881</v>
      </c>
      <c r="B96" s="94"/>
      <c r="C96" s="94"/>
      <c r="D96" s="94">
        <v>226</v>
      </c>
      <c r="E96" s="94"/>
    </row>
    <row r="97" spans="1:5" ht="15.75" x14ac:dyDescent="0.25">
      <c r="A97" s="94" t="s">
        <v>817</v>
      </c>
      <c r="B97" s="94"/>
      <c r="C97" s="94"/>
      <c r="D97" s="94">
        <v>243</v>
      </c>
      <c r="E97" s="94"/>
    </row>
    <row r="98" spans="1:5" ht="31.5" x14ac:dyDescent="0.25">
      <c r="A98" s="94" t="s">
        <v>879</v>
      </c>
      <c r="B98" s="94"/>
      <c r="C98" s="94"/>
      <c r="D98" s="94">
        <v>317</v>
      </c>
      <c r="E98" s="94"/>
    </row>
    <row r="99" spans="1:5" ht="15.75" x14ac:dyDescent="0.25">
      <c r="A99" s="14" t="s">
        <v>1050</v>
      </c>
      <c r="B99" s="14" t="s">
        <v>1051</v>
      </c>
      <c r="C99" s="14"/>
      <c r="D99" s="14"/>
      <c r="E99" s="14">
        <v>673122552</v>
      </c>
    </row>
    <row r="100" spans="1:5" ht="15.75" x14ac:dyDescent="0.25">
      <c r="A100" s="14" t="s">
        <v>1050</v>
      </c>
      <c r="B100" s="14"/>
      <c r="C100" s="14"/>
      <c r="D100" s="14"/>
      <c r="E100" s="14">
        <v>900102868</v>
      </c>
    </row>
    <row r="101" spans="1:5" ht="15.75" x14ac:dyDescent="0.25">
      <c r="A101" s="14" t="s">
        <v>1002</v>
      </c>
      <c r="B101" s="14"/>
      <c r="C101" s="14"/>
      <c r="D101" s="14"/>
      <c r="E101" s="14">
        <v>934703484</v>
      </c>
    </row>
    <row r="102" spans="1:5" ht="15.75" x14ac:dyDescent="0.25">
      <c r="A102" s="14" t="s">
        <v>1049</v>
      </c>
      <c r="B102" s="14"/>
      <c r="C102" s="14"/>
      <c r="D102" s="14"/>
      <c r="E102" s="14">
        <v>608202238</v>
      </c>
    </row>
    <row r="103" spans="1:5" ht="15.75" x14ac:dyDescent="0.25">
      <c r="A103" s="14" t="s">
        <v>1047</v>
      </c>
      <c r="B103" s="14" t="s">
        <v>1048</v>
      </c>
      <c r="C103" s="14"/>
      <c r="D103" s="14"/>
      <c r="E103" s="14">
        <v>629393413</v>
      </c>
    </row>
    <row r="104" spans="1:5" ht="15.75" x14ac:dyDescent="0.25">
      <c r="A104" s="14" t="s">
        <v>1047</v>
      </c>
      <c r="B104" s="14"/>
      <c r="C104" s="14"/>
      <c r="D104" s="14"/>
      <c r="E104" s="14">
        <v>932235275</v>
      </c>
    </row>
    <row r="105" spans="1:5" ht="15.75" x14ac:dyDescent="0.25">
      <c r="A105" s="14" t="s">
        <v>1045</v>
      </c>
      <c r="B105" s="14" t="s">
        <v>1046</v>
      </c>
      <c r="C105" s="14"/>
      <c r="D105" s="14"/>
      <c r="E105" s="14">
        <v>606066616</v>
      </c>
    </row>
    <row r="106" spans="1:5" ht="15.75" x14ac:dyDescent="0.25">
      <c r="A106" s="14" t="s">
        <v>1045</v>
      </c>
      <c r="B106" s="14"/>
      <c r="C106" s="14"/>
      <c r="D106" s="14"/>
      <c r="E106" s="14">
        <v>937567140</v>
      </c>
    </row>
    <row r="107" spans="1:5" ht="15.75" x14ac:dyDescent="0.25">
      <c r="A107" s="14" t="s">
        <v>1044</v>
      </c>
      <c r="B107" s="14"/>
      <c r="C107" s="14"/>
      <c r="D107" s="14"/>
      <c r="E107" s="14">
        <v>934433716</v>
      </c>
    </row>
    <row r="108" spans="1:5" ht="15.75" x14ac:dyDescent="0.25">
      <c r="A108" s="14" t="s">
        <v>1043</v>
      </c>
      <c r="B108" s="14"/>
      <c r="C108" s="14"/>
      <c r="D108" s="14"/>
      <c r="E108" s="14">
        <v>935651320</v>
      </c>
    </row>
    <row r="109" spans="1:5" ht="15.75" x14ac:dyDescent="0.25">
      <c r="A109" s="14" t="s">
        <v>1042</v>
      </c>
      <c r="B109" s="14"/>
      <c r="C109" s="14"/>
      <c r="D109" s="14"/>
      <c r="E109" s="14">
        <v>977840257</v>
      </c>
    </row>
  </sheetData>
  <sortState ref="A22:E98">
    <sortCondition ref="A21"/>
  </sortState>
  <pageMargins left="0.7" right="0.7" top="0.75" bottom="0.75" header="0.3" footer="0.3"/>
  <ignoredErrors>
    <ignoredError sqref="D47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Check Box 2">
              <controlPr defaultSize="0" autoFill="0" autoLine="0" autoPict="0">
                <anchor moveWithCells="1">
                  <from>
                    <xdr:col>4</xdr:col>
                    <xdr:colOff>1638300</xdr:colOff>
                    <xdr:row>45</xdr:row>
                    <xdr:rowOff>200025</xdr:rowOff>
                  </from>
                  <to>
                    <xdr:col>4</xdr:col>
                    <xdr:colOff>2047875</xdr:colOff>
                    <xdr:row>46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Check Box 3">
              <controlPr defaultSize="0" autoFill="0" autoLine="0" autoPict="0">
                <anchor moveWithCells="1">
                  <from>
                    <xdr:col>4</xdr:col>
                    <xdr:colOff>1666875</xdr:colOff>
                    <xdr:row>48</xdr:row>
                    <xdr:rowOff>171450</xdr:rowOff>
                  </from>
                  <to>
                    <xdr:col>5</xdr:col>
                    <xdr:colOff>257175</xdr:colOff>
                    <xdr:row>48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Check Box 4">
              <controlPr defaultSize="0" autoFill="0" autoLine="0" autoPict="0">
                <anchor moveWithCells="1">
                  <from>
                    <xdr:col>4</xdr:col>
                    <xdr:colOff>1666875</xdr:colOff>
                    <xdr:row>47</xdr:row>
                    <xdr:rowOff>238125</xdr:rowOff>
                  </from>
                  <to>
                    <xdr:col>4</xdr:col>
                    <xdr:colOff>1971675</xdr:colOff>
                    <xdr:row>47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Check Box 5">
              <controlPr defaultSize="0" autoFill="0" autoLine="0" autoPict="0">
                <anchor moveWithCells="1">
                  <from>
                    <xdr:col>4</xdr:col>
                    <xdr:colOff>1666875</xdr:colOff>
                    <xdr:row>53</xdr:row>
                    <xdr:rowOff>590550</xdr:rowOff>
                  </from>
                  <to>
                    <xdr:col>4</xdr:col>
                    <xdr:colOff>1971675</xdr:colOff>
                    <xdr:row>53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Check Box 6">
              <controlPr defaultSize="0" autoFill="0" autoLine="0" autoPict="0">
                <anchor moveWithCells="1">
                  <from>
                    <xdr:col>4</xdr:col>
                    <xdr:colOff>1676400</xdr:colOff>
                    <xdr:row>49</xdr:row>
                    <xdr:rowOff>95250</xdr:rowOff>
                  </from>
                  <to>
                    <xdr:col>4</xdr:col>
                    <xdr:colOff>1981200</xdr:colOff>
                    <xdr:row>49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Check Box 7">
              <controlPr defaultSize="0" autoFill="0" autoLine="0" autoPict="0">
                <anchor moveWithCells="1">
                  <from>
                    <xdr:col>4</xdr:col>
                    <xdr:colOff>1685925</xdr:colOff>
                    <xdr:row>50</xdr:row>
                    <xdr:rowOff>104775</xdr:rowOff>
                  </from>
                  <to>
                    <xdr:col>4</xdr:col>
                    <xdr:colOff>1990725</xdr:colOff>
                    <xdr:row>50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Check Box 8">
              <controlPr defaultSize="0" autoFill="0" autoLine="0" autoPict="0">
                <anchor moveWithCells="1">
                  <from>
                    <xdr:col>4</xdr:col>
                    <xdr:colOff>1695450</xdr:colOff>
                    <xdr:row>50</xdr:row>
                    <xdr:rowOff>457200</xdr:rowOff>
                  </from>
                  <to>
                    <xdr:col>4</xdr:col>
                    <xdr:colOff>2000250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0" name="Check Box 9">
              <controlPr defaultSize="0" autoFill="0" autoLine="0" autoPict="0">
                <anchor moveWithCells="1">
                  <from>
                    <xdr:col>4</xdr:col>
                    <xdr:colOff>1657350</xdr:colOff>
                    <xdr:row>54</xdr:row>
                    <xdr:rowOff>114300</xdr:rowOff>
                  </from>
                  <to>
                    <xdr:col>4</xdr:col>
                    <xdr:colOff>2028825</xdr:colOff>
                    <xdr:row>54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1" name="Check Box 10">
              <controlPr defaultSize="0" autoFill="0" autoLine="0" autoPict="0">
                <anchor moveWithCells="1">
                  <from>
                    <xdr:col>4</xdr:col>
                    <xdr:colOff>1695450</xdr:colOff>
                    <xdr:row>52</xdr:row>
                    <xdr:rowOff>152400</xdr:rowOff>
                  </from>
                  <to>
                    <xdr:col>4</xdr:col>
                    <xdr:colOff>2028825</xdr:colOff>
                    <xdr:row>52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99"/>
  <sheetViews>
    <sheetView showGridLines="0" showRowColHeaders="0" topLeftCell="A10" workbookViewId="0">
      <selection activeCell="A33" sqref="A33:F33"/>
    </sheetView>
  </sheetViews>
  <sheetFormatPr baseColWidth="10" defaultRowHeight="15" x14ac:dyDescent="0.25"/>
  <cols>
    <col min="1" max="2" width="11.42578125" style="25"/>
    <col min="3" max="3" width="12.140625" style="25" bestFit="1" customWidth="1"/>
    <col min="4" max="18" width="11.42578125" style="25"/>
    <col min="19" max="19" width="13" style="25" bestFit="1" customWidth="1"/>
    <col min="20" max="16384" width="11.42578125" style="25"/>
  </cols>
  <sheetData>
    <row r="1" spans="1:22" ht="15.75" x14ac:dyDescent="0.25">
      <c r="A1" s="73"/>
      <c r="B1" s="74"/>
      <c r="C1" s="23"/>
      <c r="D1" s="24"/>
      <c r="E1" s="24"/>
      <c r="F1" s="24"/>
      <c r="G1" s="24"/>
      <c r="H1" s="24"/>
      <c r="I1" s="24" t="str">
        <f t="shared" ref="I1:J13" si="0">IF(F1="","NO","SI")</f>
        <v>NO</v>
      </c>
      <c r="J1" s="24" t="str">
        <f t="shared" si="0"/>
        <v>NO</v>
      </c>
      <c r="K1" s="14"/>
      <c r="P1" s="314" t="s">
        <v>199</v>
      </c>
      <c r="Q1" s="314"/>
      <c r="R1" s="314"/>
      <c r="S1" s="314"/>
      <c r="T1" s="314"/>
      <c r="U1" s="314"/>
      <c r="V1" s="314"/>
    </row>
    <row r="2" spans="1:22" ht="15.75" x14ac:dyDescent="0.25">
      <c r="A2" s="73"/>
      <c r="B2" s="74"/>
      <c r="C2" s="23"/>
      <c r="D2" s="24"/>
      <c r="E2" s="24"/>
      <c r="F2" s="24"/>
      <c r="G2" s="24"/>
      <c r="H2" s="24"/>
      <c r="I2" s="24" t="str">
        <f t="shared" si="0"/>
        <v>NO</v>
      </c>
      <c r="J2" s="24" t="str">
        <f t="shared" si="0"/>
        <v>NO</v>
      </c>
      <c r="K2" s="14"/>
      <c r="P2" s="314"/>
      <c r="Q2" s="314"/>
      <c r="R2" s="314"/>
      <c r="S2" s="314"/>
      <c r="T2" s="314"/>
      <c r="U2" s="314"/>
      <c r="V2" s="314"/>
    </row>
    <row r="3" spans="1:22" ht="15.75" x14ac:dyDescent="0.25">
      <c r="A3" s="73"/>
      <c r="B3" s="74"/>
      <c r="C3" s="23"/>
      <c r="D3" s="24"/>
      <c r="E3" s="24"/>
      <c r="F3" s="24"/>
      <c r="G3" s="24"/>
      <c r="H3" s="24"/>
      <c r="I3" s="24" t="str">
        <f t="shared" si="0"/>
        <v>NO</v>
      </c>
      <c r="J3" s="24" t="str">
        <f t="shared" si="0"/>
        <v>NO</v>
      </c>
      <c r="K3" s="14"/>
      <c r="P3" s="314"/>
      <c r="Q3" s="314"/>
      <c r="R3" s="314"/>
      <c r="S3" s="314"/>
      <c r="T3" s="314"/>
      <c r="U3" s="314"/>
      <c r="V3" s="314"/>
    </row>
    <row r="4" spans="1:22" ht="15.75" x14ac:dyDescent="0.25">
      <c r="A4" s="73"/>
      <c r="B4" s="74"/>
      <c r="C4" s="23"/>
      <c r="D4" s="24"/>
      <c r="E4" s="24"/>
      <c r="F4" s="24"/>
      <c r="G4" s="24"/>
      <c r="H4" s="24"/>
      <c r="I4" s="24" t="str">
        <f t="shared" si="0"/>
        <v>NO</v>
      </c>
      <c r="J4" s="24" t="str">
        <f t="shared" si="0"/>
        <v>NO</v>
      </c>
      <c r="K4" s="14"/>
      <c r="P4" s="314"/>
      <c r="Q4" s="314"/>
      <c r="R4" s="314"/>
      <c r="S4" s="314"/>
      <c r="T4" s="314"/>
      <c r="U4" s="314"/>
      <c r="V4" s="314"/>
    </row>
    <row r="5" spans="1:22" ht="15.75" x14ac:dyDescent="0.25">
      <c r="A5" s="73"/>
      <c r="B5" s="74"/>
      <c r="C5" s="23"/>
      <c r="D5" s="24"/>
      <c r="E5" s="24"/>
      <c r="F5" s="24"/>
      <c r="G5" s="24"/>
      <c r="H5" s="24"/>
      <c r="I5" s="24" t="str">
        <f t="shared" si="0"/>
        <v>NO</v>
      </c>
      <c r="J5" s="24" t="str">
        <f t="shared" si="0"/>
        <v>NO</v>
      </c>
      <c r="K5" s="14"/>
      <c r="P5" s="314"/>
      <c r="Q5" s="314"/>
      <c r="R5" s="314"/>
      <c r="S5" s="314"/>
      <c r="T5" s="314"/>
      <c r="U5" s="314"/>
      <c r="V5" s="314"/>
    </row>
    <row r="6" spans="1:22" ht="15.75" x14ac:dyDescent="0.25">
      <c r="A6" s="73"/>
      <c r="B6" s="74"/>
      <c r="C6" s="23"/>
      <c r="D6" s="24"/>
      <c r="E6" s="24"/>
      <c r="F6" s="24"/>
      <c r="G6" s="24"/>
      <c r="H6" s="24"/>
      <c r="I6" s="24" t="str">
        <f t="shared" si="0"/>
        <v>NO</v>
      </c>
      <c r="J6" s="24" t="str">
        <f t="shared" si="0"/>
        <v>NO</v>
      </c>
      <c r="K6" s="14"/>
      <c r="P6" s="314"/>
      <c r="Q6" s="314"/>
      <c r="R6" s="314"/>
      <c r="S6" s="314"/>
      <c r="T6" s="314"/>
      <c r="U6" s="314"/>
      <c r="V6" s="314"/>
    </row>
    <row r="7" spans="1:22" ht="15.75" x14ac:dyDescent="0.25">
      <c r="A7" s="73"/>
      <c r="B7" s="74"/>
      <c r="C7" s="23"/>
      <c r="D7" s="24"/>
      <c r="E7" s="24"/>
      <c r="F7" s="24"/>
      <c r="G7" s="24"/>
      <c r="H7" s="24"/>
      <c r="I7" s="24" t="str">
        <f t="shared" si="0"/>
        <v>NO</v>
      </c>
      <c r="J7" s="24" t="str">
        <f t="shared" si="0"/>
        <v>NO</v>
      </c>
      <c r="K7" s="14"/>
      <c r="L7" s="317" t="s">
        <v>196</v>
      </c>
      <c r="M7" s="316"/>
      <c r="N7" s="316"/>
    </row>
    <row r="8" spans="1:22" ht="15.75" x14ac:dyDescent="0.25">
      <c r="A8" s="73"/>
      <c r="B8" s="74"/>
      <c r="C8" s="23"/>
      <c r="D8" s="24"/>
      <c r="E8" s="24"/>
      <c r="F8" s="24"/>
      <c r="G8" s="24"/>
      <c r="H8" s="24"/>
      <c r="I8" s="24" t="str">
        <f t="shared" si="0"/>
        <v>NO</v>
      </c>
      <c r="J8" s="24" t="str">
        <f t="shared" si="0"/>
        <v>NO</v>
      </c>
      <c r="K8" s="14"/>
      <c r="L8" s="317"/>
      <c r="M8" s="316"/>
      <c r="N8" s="316"/>
    </row>
    <row r="9" spans="1:22" ht="15.75" x14ac:dyDescent="0.25">
      <c r="A9" s="73"/>
      <c r="B9" s="74"/>
      <c r="C9" s="23"/>
      <c r="D9" s="24"/>
      <c r="E9" s="24"/>
      <c r="F9" s="24"/>
      <c r="G9" s="24"/>
      <c r="H9" s="24"/>
      <c r="I9" s="24" t="str">
        <f t="shared" si="0"/>
        <v>NO</v>
      </c>
      <c r="J9" s="24" t="str">
        <f t="shared" si="0"/>
        <v>NO</v>
      </c>
      <c r="K9" s="14"/>
    </row>
    <row r="10" spans="1:22" ht="15.75" x14ac:dyDescent="0.25">
      <c r="A10" s="73"/>
      <c r="B10" s="74"/>
      <c r="C10" s="23"/>
      <c r="D10" s="24"/>
      <c r="E10" s="24"/>
      <c r="F10" s="24"/>
      <c r="G10" s="24"/>
      <c r="H10" s="24"/>
      <c r="I10" s="24" t="str">
        <f t="shared" si="0"/>
        <v>NO</v>
      </c>
      <c r="J10" s="24" t="str">
        <f t="shared" si="0"/>
        <v>NO</v>
      </c>
      <c r="K10" s="14"/>
      <c r="O10" s="32"/>
      <c r="P10" s="32"/>
      <c r="Q10" s="32"/>
      <c r="R10" s="32"/>
      <c r="S10" s="32"/>
    </row>
    <row r="11" spans="1:22" ht="15.75" x14ac:dyDescent="0.25">
      <c r="A11" s="73"/>
      <c r="B11" s="74"/>
      <c r="C11" s="23"/>
      <c r="D11" s="24"/>
      <c r="E11" s="24"/>
      <c r="F11" s="24"/>
      <c r="G11" s="24"/>
      <c r="H11" s="24"/>
      <c r="I11" s="24" t="str">
        <f t="shared" si="0"/>
        <v>NO</v>
      </c>
      <c r="J11" s="24" t="str">
        <f t="shared" si="0"/>
        <v>NO</v>
      </c>
      <c r="K11" s="14"/>
      <c r="M11" s="31"/>
      <c r="N11" s="31"/>
      <c r="O11" s="33"/>
      <c r="P11" s="315"/>
      <c r="Q11" s="315"/>
      <c r="R11" s="32"/>
      <c r="S11" s="32"/>
    </row>
    <row r="12" spans="1:22" ht="15.75" x14ac:dyDescent="0.25">
      <c r="A12" s="73"/>
      <c r="B12" s="74"/>
      <c r="C12" s="23"/>
      <c r="D12" s="24"/>
      <c r="E12" s="24"/>
      <c r="F12" s="24"/>
      <c r="G12" s="24"/>
      <c r="H12" s="24"/>
      <c r="I12" s="24" t="str">
        <f t="shared" si="0"/>
        <v>NO</v>
      </c>
      <c r="J12" s="24" t="str">
        <f t="shared" si="0"/>
        <v>NO</v>
      </c>
      <c r="K12" s="14"/>
      <c r="O12" s="32"/>
      <c r="P12" s="32"/>
      <c r="Q12" s="32"/>
      <c r="R12" s="32"/>
      <c r="S12" s="32"/>
    </row>
    <row r="13" spans="1:22" ht="15.75" x14ac:dyDescent="0.25">
      <c r="A13" s="73"/>
      <c r="B13" s="74"/>
      <c r="C13" s="23"/>
      <c r="D13" s="24"/>
      <c r="E13" s="24"/>
      <c r="F13" s="24"/>
      <c r="G13" s="24"/>
      <c r="H13" s="24"/>
      <c r="I13" s="24" t="str">
        <f t="shared" si="0"/>
        <v>NO</v>
      </c>
      <c r="J13" s="24" t="str">
        <f t="shared" si="0"/>
        <v>NO</v>
      </c>
      <c r="K13" s="14"/>
      <c r="M13" s="31"/>
      <c r="N13" s="31"/>
      <c r="O13" s="33"/>
      <c r="P13" s="315"/>
      <c r="Q13" s="315"/>
      <c r="R13" s="32"/>
      <c r="S13" s="32"/>
    </row>
    <row r="14" spans="1:22" x14ac:dyDescent="0.25">
      <c r="O14" s="32"/>
      <c r="P14" s="32"/>
      <c r="Q14" s="32"/>
      <c r="R14" s="32"/>
      <c r="S14" s="32"/>
    </row>
    <row r="15" spans="1:22" ht="15.75" x14ac:dyDescent="0.25">
      <c r="A15" s="73"/>
      <c r="B15" s="14"/>
      <c r="C15" s="14"/>
      <c r="D15" s="14"/>
      <c r="E15" s="198"/>
      <c r="F15" s="198"/>
      <c r="G15" s="14"/>
      <c r="O15" s="32"/>
      <c r="P15" s="32"/>
      <c r="Q15" s="32"/>
      <c r="R15" s="32"/>
      <c r="S15" s="32"/>
    </row>
    <row r="16" spans="1:22" ht="15.75" x14ac:dyDescent="0.25">
      <c r="A16" s="73"/>
      <c r="B16" s="14"/>
      <c r="C16" s="14"/>
      <c r="D16" s="14"/>
      <c r="E16" s="198"/>
      <c r="F16" s="198"/>
      <c r="G16" s="14"/>
      <c r="O16" s="32"/>
      <c r="P16" s="32"/>
      <c r="Q16" s="32"/>
      <c r="R16" s="32"/>
      <c r="S16" s="32"/>
    </row>
    <row r="17" spans="1:19" ht="15.75" x14ac:dyDescent="0.25">
      <c r="A17" s="73"/>
      <c r="B17" s="14"/>
      <c r="C17" s="14"/>
      <c r="D17" s="14"/>
      <c r="E17" s="198"/>
      <c r="F17" s="198"/>
      <c r="G17" s="14"/>
      <c r="O17" s="32"/>
      <c r="P17" s="32"/>
      <c r="Q17" s="32"/>
      <c r="R17" s="32"/>
      <c r="S17" s="32"/>
    </row>
    <row r="18" spans="1:19" ht="15.75" x14ac:dyDescent="0.25">
      <c r="A18" s="73"/>
      <c r="B18" s="14"/>
      <c r="C18" s="14"/>
      <c r="D18" s="14"/>
      <c r="E18" s="198"/>
      <c r="F18" s="198"/>
      <c r="G18" s="14"/>
      <c r="O18" s="32"/>
      <c r="P18" s="32"/>
      <c r="Q18" s="32"/>
      <c r="R18" s="32"/>
      <c r="S18" s="32"/>
    </row>
    <row r="19" spans="1:19" ht="15.75" x14ac:dyDescent="0.25">
      <c r="A19" s="73"/>
      <c r="B19" s="14"/>
      <c r="C19" s="14"/>
      <c r="D19" s="14"/>
      <c r="E19" s="198"/>
      <c r="F19" s="198"/>
      <c r="G19" s="14"/>
    </row>
    <row r="20" spans="1:19" ht="15.75" customHeight="1" x14ac:dyDescent="0.25">
      <c r="A20" s="73"/>
      <c r="B20" s="14"/>
      <c r="C20" s="14"/>
      <c r="D20" s="14"/>
      <c r="E20" s="198"/>
      <c r="F20" s="198"/>
      <c r="G20" s="14"/>
      <c r="H20" s="317" t="s">
        <v>197</v>
      </c>
      <c r="I20" s="316"/>
      <c r="J20" s="316"/>
      <c r="K20" s="316"/>
    </row>
    <row r="21" spans="1:19" ht="15.75" customHeight="1" x14ac:dyDescent="0.25">
      <c r="A21" s="73"/>
      <c r="B21" s="14"/>
      <c r="C21" s="14"/>
      <c r="D21" s="14"/>
      <c r="E21" s="198"/>
      <c r="F21" s="198"/>
      <c r="G21" s="14"/>
      <c r="H21" s="317"/>
      <c r="I21" s="316"/>
      <c r="J21" s="316"/>
      <c r="K21" s="316"/>
    </row>
    <row r="22" spans="1:19" ht="15.75" x14ac:dyDescent="0.25">
      <c r="A22" s="73"/>
      <c r="B22" s="14"/>
      <c r="C22" s="14"/>
      <c r="D22" s="14"/>
      <c r="E22" s="198"/>
      <c r="F22" s="198"/>
      <c r="G22" s="14"/>
    </row>
    <row r="23" spans="1:19" ht="15.75" x14ac:dyDescent="0.25">
      <c r="A23" s="73"/>
      <c r="B23" s="14"/>
      <c r="C23" s="14"/>
      <c r="D23" s="14"/>
      <c r="E23" s="198"/>
      <c r="F23" s="198"/>
      <c r="G23" s="14"/>
    </row>
    <row r="24" spans="1:19" ht="15.75" x14ac:dyDescent="0.25">
      <c r="A24" s="73"/>
      <c r="B24" s="14"/>
      <c r="C24" s="14"/>
      <c r="D24" s="14"/>
      <c r="E24" s="198"/>
      <c r="F24" s="198"/>
      <c r="G24" s="14"/>
    </row>
    <row r="25" spans="1:19" ht="15.75" x14ac:dyDescent="0.25">
      <c r="A25" s="73"/>
      <c r="B25" s="14"/>
      <c r="C25" s="14"/>
      <c r="D25" s="14"/>
      <c r="E25" s="198"/>
      <c r="F25" s="198"/>
      <c r="G25" s="14"/>
    </row>
    <row r="26" spans="1:19" ht="15.75" x14ac:dyDescent="0.25">
      <c r="A26" s="73"/>
      <c r="B26" s="14"/>
      <c r="C26" s="14"/>
      <c r="D26" s="14"/>
      <c r="E26" s="198"/>
      <c r="F26" s="198"/>
      <c r="G26" s="14"/>
    </row>
    <row r="27" spans="1:19" ht="15.75" x14ac:dyDescent="0.25">
      <c r="A27" s="73"/>
      <c r="B27" s="14"/>
      <c r="C27" s="14"/>
      <c r="D27" s="14"/>
      <c r="E27" s="198"/>
      <c r="F27" s="198"/>
      <c r="G27" s="14"/>
    </row>
    <row r="28" spans="1:19" ht="15.75" x14ac:dyDescent="0.25">
      <c r="A28" s="73"/>
      <c r="B28" s="14"/>
      <c r="C28" s="14"/>
      <c r="D28" s="14"/>
      <c r="E28" s="198"/>
      <c r="F28" s="198"/>
      <c r="G28" s="14"/>
    </row>
    <row r="29" spans="1:19" ht="15.75" x14ac:dyDescent="0.25">
      <c r="A29" s="73"/>
      <c r="B29" s="14"/>
      <c r="C29" s="14"/>
      <c r="D29" s="14"/>
      <c r="E29" s="198"/>
      <c r="F29" s="198"/>
      <c r="G29" s="14"/>
    </row>
    <row r="30" spans="1:19" ht="15.75" x14ac:dyDescent="0.25">
      <c r="A30" s="73"/>
      <c r="B30" s="14"/>
      <c r="C30" s="14"/>
      <c r="D30" s="14"/>
      <c r="E30" s="198"/>
      <c r="F30" s="198"/>
      <c r="G30" s="14"/>
    </row>
    <row r="33" spans="1:10" ht="15.75" x14ac:dyDescent="0.25">
      <c r="A33" s="26"/>
      <c r="B33" s="14"/>
      <c r="C33" s="14"/>
      <c r="D33" s="209"/>
      <c r="E33" s="12"/>
      <c r="F33" s="14"/>
    </row>
    <row r="34" spans="1:10" ht="15.75" x14ac:dyDescent="0.25">
      <c r="A34" s="26"/>
      <c r="B34" s="14"/>
      <c r="C34" s="14"/>
      <c r="D34" s="209"/>
      <c r="E34" s="12"/>
      <c r="F34" s="14"/>
    </row>
    <row r="35" spans="1:10" ht="15.75" x14ac:dyDescent="0.25">
      <c r="A35" s="26"/>
      <c r="B35" s="14"/>
      <c r="C35" s="14"/>
      <c r="D35" s="209"/>
      <c r="E35" s="12"/>
      <c r="F35" s="14"/>
    </row>
    <row r="36" spans="1:10" ht="15.75" x14ac:dyDescent="0.25">
      <c r="A36" s="26"/>
      <c r="B36" s="14"/>
      <c r="C36" s="14"/>
      <c r="D36" s="209"/>
      <c r="E36" s="12"/>
      <c r="F36" s="14"/>
    </row>
    <row r="37" spans="1:10" ht="15.75" x14ac:dyDescent="0.25">
      <c r="A37" s="26"/>
      <c r="B37" s="14"/>
      <c r="C37" s="14"/>
      <c r="D37" s="209"/>
      <c r="E37" s="12"/>
      <c r="F37" s="14"/>
    </row>
    <row r="38" spans="1:10" ht="15.75" x14ac:dyDescent="0.25">
      <c r="A38" s="26"/>
      <c r="B38" s="14"/>
      <c r="C38" s="14"/>
      <c r="D38" s="209"/>
      <c r="E38" s="12"/>
      <c r="F38" s="14"/>
    </row>
    <row r="39" spans="1:10" ht="15.75" x14ac:dyDescent="0.25">
      <c r="A39" s="26"/>
      <c r="B39" s="14"/>
      <c r="C39" s="14"/>
      <c r="D39" s="209"/>
      <c r="E39" s="12"/>
      <c r="F39" s="14"/>
    </row>
    <row r="40" spans="1:10" ht="15.75" x14ac:dyDescent="0.25">
      <c r="A40" s="26"/>
      <c r="B40" s="14"/>
      <c r="C40" s="14"/>
      <c r="D40" s="209"/>
      <c r="E40" s="12"/>
      <c r="F40" s="14"/>
      <c r="G40" s="317" t="s">
        <v>198</v>
      </c>
      <c r="H40" s="316"/>
      <c r="I40" s="316"/>
      <c r="J40" s="316"/>
    </row>
    <row r="41" spans="1:10" ht="15.75" x14ac:dyDescent="0.25">
      <c r="A41" s="26"/>
      <c r="B41" s="14"/>
      <c r="C41" s="14"/>
      <c r="D41" s="209"/>
      <c r="E41" s="12"/>
      <c r="F41" s="14"/>
      <c r="G41" s="317"/>
      <c r="H41" s="316"/>
      <c r="I41" s="316"/>
      <c r="J41" s="316"/>
    </row>
    <row r="42" spans="1:10" ht="15.75" x14ac:dyDescent="0.25">
      <c r="A42" s="26"/>
      <c r="B42" s="14"/>
      <c r="C42" s="14"/>
      <c r="D42" s="209"/>
      <c r="E42" s="12"/>
      <c r="F42" s="14"/>
    </row>
    <row r="43" spans="1:10" ht="15.75" x14ac:dyDescent="0.25">
      <c r="A43" s="26"/>
      <c r="B43" s="14"/>
      <c r="C43" s="14"/>
      <c r="D43" s="209"/>
      <c r="E43" s="12"/>
      <c r="F43" s="14"/>
    </row>
    <row r="44" spans="1:10" ht="15.75" x14ac:dyDescent="0.25">
      <c r="A44" s="26"/>
      <c r="B44" s="14"/>
      <c r="C44" s="14"/>
      <c r="D44" s="209"/>
      <c r="E44" s="12"/>
      <c r="F44" s="14"/>
    </row>
    <row r="45" spans="1:10" ht="15.75" x14ac:dyDescent="0.25">
      <c r="A45" s="26"/>
      <c r="B45" s="14"/>
      <c r="C45" s="14"/>
      <c r="D45" s="209"/>
      <c r="E45" s="12"/>
      <c r="F45" s="14"/>
    </row>
    <row r="46" spans="1:10" ht="15.75" x14ac:dyDescent="0.25">
      <c r="A46" s="26"/>
      <c r="B46" s="14"/>
      <c r="C46" s="14"/>
      <c r="D46" s="209"/>
      <c r="E46" s="12"/>
      <c r="F46" s="14"/>
    </row>
    <row r="47" spans="1:10" ht="15.75" x14ac:dyDescent="0.25">
      <c r="A47" s="26"/>
      <c r="B47" s="14"/>
      <c r="C47" s="14"/>
      <c r="D47" s="209"/>
      <c r="E47" s="12"/>
      <c r="F47" s="14"/>
    </row>
    <row r="48" spans="1:10" ht="15.75" x14ac:dyDescent="0.25">
      <c r="A48" s="26"/>
      <c r="B48" s="14"/>
      <c r="C48" s="14"/>
      <c r="D48" s="209"/>
      <c r="E48" s="12"/>
      <c r="F48" s="14"/>
    </row>
    <row r="49" spans="1:10" ht="15.75" x14ac:dyDescent="0.25">
      <c r="A49" s="26"/>
      <c r="B49" s="14"/>
      <c r="C49" s="14"/>
      <c r="D49" s="209"/>
      <c r="E49" s="12"/>
      <c r="F49" s="14"/>
    </row>
    <row r="50" spans="1:10" ht="15.75" x14ac:dyDescent="0.25">
      <c r="A50" s="26"/>
      <c r="B50" s="14"/>
      <c r="C50" s="14"/>
      <c r="D50" s="209"/>
      <c r="E50" s="12"/>
      <c r="F50" s="14"/>
    </row>
    <row r="51" spans="1:10" ht="15.75" x14ac:dyDescent="0.25">
      <c r="A51" s="26"/>
      <c r="B51" s="14"/>
      <c r="C51" s="14"/>
      <c r="D51" s="209"/>
      <c r="E51" s="12"/>
      <c r="F51" s="14"/>
    </row>
    <row r="52" spans="1:10" ht="15.75" x14ac:dyDescent="0.25">
      <c r="A52" s="26"/>
      <c r="B52" s="14"/>
      <c r="C52" s="14"/>
      <c r="D52" s="209"/>
      <c r="E52" s="12"/>
      <c r="F52" s="14"/>
    </row>
    <row r="53" spans="1:10" ht="15.75" x14ac:dyDescent="0.25">
      <c r="A53" s="26"/>
      <c r="B53" s="14"/>
      <c r="C53" s="14"/>
      <c r="D53" s="209"/>
      <c r="E53" s="12"/>
      <c r="F53" s="14"/>
    </row>
    <row r="54" spans="1:10" ht="15.75" x14ac:dyDescent="0.25">
      <c r="A54" s="26"/>
      <c r="B54" s="14"/>
      <c r="C54" s="14"/>
      <c r="D54" s="209"/>
      <c r="E54" s="12"/>
      <c r="F54" s="14"/>
    </row>
    <row r="55" spans="1:10" ht="15.75" x14ac:dyDescent="0.25">
      <c r="A55" s="26"/>
      <c r="B55" s="14"/>
      <c r="C55" s="14"/>
      <c r="D55" s="209"/>
      <c r="E55" s="12"/>
      <c r="F55" s="14"/>
    </row>
    <row r="56" spans="1:10" ht="15.75" x14ac:dyDescent="0.25">
      <c r="A56" s="26"/>
      <c r="B56" s="14"/>
      <c r="C56" s="14"/>
      <c r="D56" s="209"/>
      <c r="E56" s="12"/>
      <c r="F56" s="14"/>
    </row>
    <row r="57" spans="1:10" ht="15.75" x14ac:dyDescent="0.25">
      <c r="A57" s="26"/>
      <c r="B57" s="14"/>
      <c r="C57" s="14"/>
      <c r="D57" s="209"/>
      <c r="E57" s="12"/>
      <c r="F57" s="14"/>
    </row>
    <row r="58" spans="1:10" x14ac:dyDescent="0.25">
      <c r="H58" s="36"/>
    </row>
    <row r="59" spans="1:10" ht="15.75" x14ac:dyDescent="0.25">
      <c r="A59" s="73" t="str">
        <f ca="1">IF(B59="","",TODAY())</f>
        <v/>
      </c>
      <c r="B59" s="24"/>
      <c r="C59" s="199"/>
      <c r="D59" s="24"/>
      <c r="E59" s="24"/>
    </row>
    <row r="60" spans="1:10" ht="15.75" x14ac:dyDescent="0.25">
      <c r="A60" s="73" t="str">
        <f t="shared" ref="A60:A72" ca="1" si="1">IF(B60="","",TODAY())</f>
        <v/>
      </c>
      <c r="B60" s="200"/>
      <c r="C60" s="201"/>
      <c r="D60" s="202"/>
      <c r="E60" s="202"/>
    </row>
    <row r="61" spans="1:10" ht="15.75" x14ac:dyDescent="0.25">
      <c r="A61" s="73" t="str">
        <f t="shared" ca="1" si="1"/>
        <v/>
      </c>
      <c r="B61" s="200"/>
      <c r="C61" s="201"/>
      <c r="D61" s="202"/>
      <c r="E61" s="202"/>
    </row>
    <row r="62" spans="1:10" ht="15.75" x14ac:dyDescent="0.25">
      <c r="A62" s="73" t="str">
        <f t="shared" ca="1" si="1"/>
        <v/>
      </c>
      <c r="B62" s="200"/>
      <c r="C62" s="203"/>
      <c r="D62" s="202"/>
      <c r="E62" s="202"/>
      <c r="F62" s="317" t="s">
        <v>255</v>
      </c>
      <c r="G62" s="318"/>
      <c r="H62" s="318"/>
      <c r="I62" s="318"/>
      <c r="J62" s="318"/>
    </row>
    <row r="63" spans="1:10" ht="15.75" x14ac:dyDescent="0.25">
      <c r="A63" s="73" t="str">
        <f t="shared" ca="1" si="1"/>
        <v/>
      </c>
      <c r="B63" s="200"/>
      <c r="C63" s="201"/>
      <c r="D63" s="202"/>
      <c r="E63" s="202"/>
      <c r="F63" s="317"/>
      <c r="G63" s="318"/>
      <c r="H63" s="318"/>
      <c r="I63" s="318"/>
      <c r="J63" s="318"/>
    </row>
    <row r="64" spans="1:10" ht="15.75" x14ac:dyDescent="0.25">
      <c r="A64" s="73" t="str">
        <f t="shared" ca="1" si="1"/>
        <v/>
      </c>
      <c r="B64" s="200"/>
      <c r="C64" s="201"/>
      <c r="D64" s="202"/>
      <c r="E64" s="202"/>
    </row>
    <row r="65" spans="1:39" ht="15.75" x14ac:dyDescent="0.25">
      <c r="A65" s="73" t="str">
        <f t="shared" ca="1" si="1"/>
        <v/>
      </c>
      <c r="B65" s="202"/>
      <c r="C65" s="201"/>
      <c r="D65" s="202"/>
      <c r="E65" s="202"/>
    </row>
    <row r="66" spans="1:39" ht="15.75" x14ac:dyDescent="0.25">
      <c r="A66" s="73" t="str">
        <f t="shared" ca="1" si="1"/>
        <v/>
      </c>
      <c r="B66" s="202"/>
      <c r="C66" s="201"/>
      <c r="D66" s="202"/>
      <c r="E66" s="202"/>
    </row>
    <row r="67" spans="1:39" ht="15.75" x14ac:dyDescent="0.25">
      <c r="A67" s="73" t="str">
        <f t="shared" ca="1" si="1"/>
        <v/>
      </c>
      <c r="B67" s="200"/>
      <c r="C67" s="201"/>
      <c r="D67" s="202"/>
      <c r="E67" s="202"/>
    </row>
    <row r="68" spans="1:39" ht="15.75" x14ac:dyDescent="0.25">
      <c r="A68" s="73" t="str">
        <f t="shared" ca="1" si="1"/>
        <v/>
      </c>
      <c r="B68" s="200"/>
      <c r="C68" s="201"/>
      <c r="D68" s="202"/>
      <c r="E68" s="202"/>
    </row>
    <row r="69" spans="1:39" ht="15.75" x14ac:dyDescent="0.25">
      <c r="A69" s="73" t="str">
        <f t="shared" ca="1" si="1"/>
        <v/>
      </c>
      <c r="B69" s="200"/>
      <c r="C69" s="201"/>
      <c r="D69" s="202"/>
      <c r="E69" s="202"/>
    </row>
    <row r="70" spans="1:39" ht="15.75" x14ac:dyDescent="0.25">
      <c r="A70" s="73" t="str">
        <f t="shared" ca="1" si="1"/>
        <v/>
      </c>
      <c r="B70" s="200"/>
      <c r="C70" s="203"/>
      <c r="D70" s="202"/>
      <c r="E70" s="202"/>
    </row>
    <row r="71" spans="1:39" ht="15.75" x14ac:dyDescent="0.25">
      <c r="A71" s="73" t="str">
        <f t="shared" ca="1" si="1"/>
        <v/>
      </c>
      <c r="B71" s="200"/>
      <c r="C71" s="203"/>
      <c r="D71" s="202"/>
      <c r="E71" s="202"/>
      <c r="R71" s="316" t="s">
        <v>806</v>
      </c>
      <c r="S71" s="316"/>
      <c r="T71" s="316"/>
      <c r="U71" s="316"/>
      <c r="V71" s="316"/>
    </row>
    <row r="72" spans="1:39" ht="15.75" x14ac:dyDescent="0.25">
      <c r="A72" s="73" t="str">
        <f t="shared" ca="1" si="1"/>
        <v/>
      </c>
      <c r="B72" s="200"/>
      <c r="C72" s="203"/>
      <c r="D72" s="202"/>
      <c r="E72" s="202"/>
      <c r="R72" s="316"/>
      <c r="S72" s="316"/>
      <c r="T72" s="316"/>
      <c r="U72" s="316"/>
      <c r="V72" s="316"/>
    </row>
    <row r="75" spans="1:39" ht="15.75" x14ac:dyDescent="0.25">
      <c r="M75" s="2"/>
      <c r="N75" s="2"/>
      <c r="O75" s="1"/>
      <c r="P75" s="59"/>
      <c r="Q75" s="58"/>
      <c r="R75" s="58"/>
      <c r="S75" s="58" t="str">
        <f>IF((ISODD(COUNT(T75:U75,W75:X75,Z75:AA75,AC75:AD75,))),"FUERA","DENTRO")</f>
        <v>FUERA</v>
      </c>
      <c r="T75" s="12"/>
      <c r="U75" s="12"/>
      <c r="V75" s="13">
        <f>IF(U75="",0,U75-T75+"24:00")</f>
        <v>0</v>
      </c>
      <c r="W75" s="12"/>
      <c r="X75" s="12"/>
      <c r="Y75" s="13">
        <f>IF(X75="",0,X75-W75+"24:00")</f>
        <v>0</v>
      </c>
      <c r="Z75" s="12"/>
      <c r="AA75" s="12"/>
      <c r="AB75" s="13">
        <f>IF(AA75="",0,AA75-Z75+"24:00")</f>
        <v>0</v>
      </c>
      <c r="AC75" s="12"/>
      <c r="AD75" s="12"/>
      <c r="AE75" s="13">
        <f>IF(AD75="",0,AD75-AC75+"24:00")</f>
        <v>0</v>
      </c>
      <c r="AF75" s="14"/>
      <c r="AG75" s="14"/>
      <c r="AH75" s="14"/>
      <c r="AI75" s="14"/>
      <c r="AJ75" s="14"/>
      <c r="AK75" s="14"/>
      <c r="AL75" s="14"/>
      <c r="AM75" s="14"/>
    </row>
    <row r="76" spans="1:39" ht="15.75" x14ac:dyDescent="0.25">
      <c r="M76" s="2"/>
      <c r="N76" s="2"/>
      <c r="O76" s="1"/>
      <c r="P76" s="59"/>
      <c r="Q76" s="58"/>
      <c r="R76" s="58"/>
      <c r="S76" s="58" t="str">
        <f>IF((ISODD(COUNT(T76:U76,W76:X76,Z76:AA76,AC76:AD76,))),"FUERA","DENTRO")</f>
        <v>FUERA</v>
      </c>
      <c r="T76" s="12"/>
      <c r="U76" s="12"/>
      <c r="V76" s="13">
        <f>IF(U76="",0,U76-T76+"24:00")</f>
        <v>0</v>
      </c>
      <c r="W76" s="12"/>
      <c r="X76" s="12"/>
      <c r="Y76" s="13">
        <f>IF(X76="",0,X76-W76+"24:00")</f>
        <v>0</v>
      </c>
      <c r="Z76" s="12"/>
      <c r="AA76" s="12"/>
      <c r="AB76" s="13">
        <f>IF(AA76="",0,AA76-Z76+"24:00")</f>
        <v>0</v>
      </c>
      <c r="AC76" s="12"/>
      <c r="AD76" s="12"/>
      <c r="AE76" s="13">
        <f>IF(AD76="",0,AD76-AC76+"24:00")</f>
        <v>0</v>
      </c>
      <c r="AF76" s="14"/>
      <c r="AG76" s="14"/>
      <c r="AH76" s="14"/>
      <c r="AI76" s="14"/>
      <c r="AJ76" s="14"/>
      <c r="AK76" s="14"/>
      <c r="AL76" s="14"/>
      <c r="AM76" s="14"/>
    </row>
    <row r="79" spans="1:39" ht="15.75" x14ac:dyDescent="0.25">
      <c r="A79" s="26"/>
      <c r="B79" s="14"/>
      <c r="C79" s="14"/>
      <c r="D79" s="14"/>
      <c r="E79" s="14"/>
      <c r="F79" s="26"/>
    </row>
    <row r="80" spans="1:39" ht="15.75" x14ac:dyDescent="0.25">
      <c r="A80" s="26"/>
      <c r="B80" s="14"/>
      <c r="C80" s="14"/>
      <c r="D80" s="14"/>
      <c r="E80" s="14"/>
      <c r="F80" s="26"/>
    </row>
    <row r="81" spans="1:12" ht="15.75" x14ac:dyDescent="0.25">
      <c r="A81" s="26"/>
      <c r="B81" s="14"/>
      <c r="C81" s="14"/>
      <c r="D81" s="14"/>
      <c r="E81" s="14"/>
      <c r="F81" s="26"/>
    </row>
    <row r="82" spans="1:12" ht="15.75" x14ac:dyDescent="0.25">
      <c r="A82" s="26"/>
      <c r="B82" s="14"/>
      <c r="C82" s="14"/>
      <c r="D82" s="14"/>
      <c r="E82" s="14"/>
      <c r="F82" s="26"/>
      <c r="H82" s="316" t="s">
        <v>907</v>
      </c>
      <c r="I82" s="316"/>
      <c r="J82" s="316"/>
      <c r="K82" s="316"/>
      <c r="L82" s="316"/>
    </row>
    <row r="83" spans="1:12" ht="15.75" x14ac:dyDescent="0.25">
      <c r="A83" s="26"/>
      <c r="B83" s="14"/>
      <c r="C83" s="14"/>
      <c r="D83" s="14"/>
      <c r="E83" s="14"/>
      <c r="F83" s="26"/>
      <c r="H83" s="316"/>
      <c r="I83" s="316"/>
      <c r="J83" s="316"/>
      <c r="K83" s="316"/>
      <c r="L83" s="316"/>
    </row>
    <row r="84" spans="1:12" ht="15.75" x14ac:dyDescent="0.25">
      <c r="A84" s="26"/>
      <c r="B84" s="14"/>
      <c r="C84" s="14"/>
      <c r="D84" s="14"/>
      <c r="E84" s="14"/>
      <c r="F84" s="26"/>
    </row>
    <row r="85" spans="1:12" ht="15.75" x14ac:dyDescent="0.25">
      <c r="A85" s="26"/>
      <c r="B85" s="14"/>
      <c r="C85" s="14"/>
      <c r="D85" s="14"/>
      <c r="E85" s="14"/>
      <c r="F85" s="26"/>
    </row>
    <row r="86" spans="1:12" ht="15.75" x14ac:dyDescent="0.25">
      <c r="A86" s="26"/>
      <c r="B86" s="14"/>
      <c r="C86" s="14"/>
      <c r="D86" s="14"/>
      <c r="E86" s="14"/>
      <c r="F86" s="26"/>
    </row>
    <row r="87" spans="1:12" ht="15.75" x14ac:dyDescent="0.25">
      <c r="A87" s="26"/>
      <c r="B87" s="14"/>
      <c r="C87" s="14"/>
      <c r="D87" s="14"/>
      <c r="E87" s="14"/>
      <c r="F87" s="26"/>
    </row>
    <row r="89" spans="1:12" ht="15.75" x14ac:dyDescent="0.25">
      <c r="A89" s="14"/>
      <c r="B89" s="14"/>
      <c r="C89" s="14"/>
      <c r="D89" s="14"/>
      <c r="E89" s="14"/>
    </row>
    <row r="90" spans="1:12" ht="15.75" x14ac:dyDescent="0.25">
      <c r="A90" s="204"/>
      <c r="B90" s="204"/>
      <c r="C90" s="204"/>
      <c r="D90" s="204"/>
      <c r="E90" s="204"/>
    </row>
    <row r="91" spans="1:12" ht="15.75" x14ac:dyDescent="0.25">
      <c r="A91" s="204"/>
      <c r="B91" s="204"/>
      <c r="C91" s="204"/>
      <c r="D91" s="204"/>
      <c r="E91" s="204"/>
    </row>
    <row r="92" spans="1:12" ht="15.75" x14ac:dyDescent="0.25">
      <c r="A92" s="204"/>
      <c r="B92" s="204"/>
      <c r="C92" s="204"/>
      <c r="D92" s="204"/>
      <c r="E92" s="204"/>
    </row>
    <row r="93" spans="1:12" ht="15.75" x14ac:dyDescent="0.25">
      <c r="A93" s="204"/>
      <c r="B93" s="204"/>
      <c r="C93" s="204"/>
      <c r="D93" s="204"/>
      <c r="E93" s="204"/>
      <c r="G93" s="316" t="s">
        <v>807</v>
      </c>
      <c r="H93" s="316"/>
      <c r="I93" s="316"/>
      <c r="J93" s="316"/>
      <c r="K93" s="316"/>
    </row>
    <row r="94" spans="1:12" ht="15.75" x14ac:dyDescent="0.25">
      <c r="A94" s="204"/>
      <c r="B94" s="204"/>
      <c r="C94" s="204"/>
      <c r="D94" s="204"/>
      <c r="E94" s="204"/>
      <c r="G94" s="316"/>
      <c r="H94" s="316"/>
      <c r="I94" s="316"/>
      <c r="J94" s="316"/>
      <c r="K94" s="316"/>
    </row>
    <row r="95" spans="1:12" ht="15.75" x14ac:dyDescent="0.25">
      <c r="A95" s="204"/>
      <c r="B95" s="204"/>
      <c r="C95" s="204"/>
      <c r="D95" s="204"/>
      <c r="E95" s="204"/>
    </row>
    <row r="96" spans="1:12" ht="15.75" x14ac:dyDescent="0.25">
      <c r="A96" s="204"/>
      <c r="B96" s="204"/>
      <c r="C96" s="204"/>
      <c r="D96" s="204"/>
      <c r="E96" s="204"/>
    </row>
    <row r="97" spans="1:5" ht="15.75" x14ac:dyDescent="0.25">
      <c r="A97" s="204"/>
      <c r="B97" s="204"/>
      <c r="C97" s="204"/>
      <c r="D97" s="204"/>
      <c r="E97" s="204"/>
    </row>
    <row r="98" spans="1:5" ht="15.75" x14ac:dyDescent="0.25">
      <c r="A98" s="204"/>
      <c r="B98" s="204"/>
      <c r="C98" s="204"/>
      <c r="D98" s="204"/>
      <c r="E98" s="204"/>
    </row>
    <row r="99" spans="1:5" ht="15.75" x14ac:dyDescent="0.25">
      <c r="A99" s="204"/>
      <c r="B99" s="204"/>
      <c r="C99" s="204"/>
      <c r="D99" s="204"/>
      <c r="E99" s="204"/>
    </row>
  </sheetData>
  <mergeCells count="10">
    <mergeCell ref="P1:V6"/>
    <mergeCell ref="P11:Q11"/>
    <mergeCell ref="P13:Q13"/>
    <mergeCell ref="H82:L83"/>
    <mergeCell ref="G93:K94"/>
    <mergeCell ref="R71:V72"/>
    <mergeCell ref="F62:J63"/>
    <mergeCell ref="L7:N8"/>
    <mergeCell ref="H20:K21"/>
    <mergeCell ref="G40:J4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22"/>
  <sheetViews>
    <sheetView showGridLines="0" showRowColHeaders="0" zoomScaleNormal="100" workbookViewId="0">
      <selection activeCell="F6" sqref="F6"/>
    </sheetView>
  </sheetViews>
  <sheetFormatPr baseColWidth="10" defaultRowHeight="15" x14ac:dyDescent="0.25"/>
  <cols>
    <col min="1" max="1" width="32.28515625" style="37" customWidth="1"/>
    <col min="2" max="2" width="19.85546875" style="37" customWidth="1"/>
    <col min="3" max="3" width="22.42578125" style="37" customWidth="1"/>
    <col min="4" max="4" width="18" style="37" customWidth="1"/>
    <col min="5" max="5" width="33" style="37" customWidth="1"/>
    <col min="6" max="6" width="24.140625" style="37" customWidth="1"/>
    <col min="7" max="7" width="11.42578125" style="25"/>
    <col min="8" max="8" width="17.42578125" style="25" customWidth="1"/>
    <col min="9" max="9" width="14.85546875" style="25" customWidth="1"/>
    <col min="10" max="10" width="15" style="25" customWidth="1"/>
    <col min="11" max="11" width="24.5703125" style="25" customWidth="1"/>
    <col min="12" max="12" width="26.28515625" style="25" customWidth="1"/>
    <col min="13" max="13" width="19" style="25" customWidth="1"/>
    <col min="14" max="14" width="22.42578125" style="25" customWidth="1"/>
    <col min="15" max="16384" width="11.42578125" style="25"/>
  </cols>
  <sheetData>
    <row r="1" spans="1:6" x14ac:dyDescent="0.25">
      <c r="A1" s="25"/>
      <c r="B1" s="25"/>
      <c r="C1" s="25"/>
      <c r="D1" s="25"/>
      <c r="E1" s="25"/>
      <c r="F1" s="25"/>
    </row>
    <row r="2" spans="1:6" x14ac:dyDescent="0.25">
      <c r="A2" s="25"/>
      <c r="B2" s="25"/>
      <c r="C2" s="25"/>
      <c r="D2" s="25"/>
      <c r="E2" s="25"/>
      <c r="F2" s="25"/>
    </row>
    <row r="3" spans="1:6" x14ac:dyDescent="0.25">
      <c r="A3" s="25"/>
      <c r="B3" s="25"/>
      <c r="C3" s="25"/>
      <c r="D3" s="25"/>
      <c r="E3" s="25"/>
      <c r="F3" s="25"/>
    </row>
    <row r="4" spans="1:6" ht="15.75" x14ac:dyDescent="0.25">
      <c r="A4" s="3" t="s">
        <v>0</v>
      </c>
      <c r="B4" s="3"/>
      <c r="C4" s="3"/>
      <c r="D4" s="4" t="s">
        <v>2</v>
      </c>
      <c r="E4" s="3" t="s">
        <v>3</v>
      </c>
      <c r="F4" s="3" t="s">
        <v>4</v>
      </c>
    </row>
    <row r="5" spans="1:6" ht="15.75" x14ac:dyDescent="0.25">
      <c r="A5" s="38"/>
      <c r="B5" s="38"/>
      <c r="C5" s="39"/>
      <c r="D5" s="40"/>
      <c r="E5" s="41"/>
      <c r="F5" s="41"/>
    </row>
    <row r="6" spans="1:6" x14ac:dyDescent="0.25">
      <c r="A6" s="25"/>
      <c r="B6" s="25"/>
      <c r="C6" s="25"/>
      <c r="D6" s="25"/>
      <c r="E6" s="25"/>
      <c r="F6" s="25"/>
    </row>
    <row r="7" spans="1:6" x14ac:dyDescent="0.25">
      <c r="A7" s="25"/>
      <c r="B7" s="25"/>
      <c r="C7" s="25"/>
      <c r="D7" s="25"/>
      <c r="E7" s="25"/>
      <c r="F7" s="25"/>
    </row>
    <row r="8" spans="1:6" ht="15.75" customHeight="1" x14ac:dyDescent="0.25">
      <c r="A8" s="25"/>
      <c r="B8" s="25"/>
      <c r="C8" s="25"/>
      <c r="D8" s="25"/>
      <c r="E8" s="25"/>
      <c r="F8" s="25"/>
    </row>
    <row r="9" spans="1:6" ht="15" customHeight="1" thickBot="1" x14ac:dyDescent="0.3">
      <c r="A9" s="25"/>
      <c r="B9" s="25"/>
      <c r="C9" s="25"/>
      <c r="D9" s="25"/>
      <c r="E9" s="25"/>
      <c r="F9" s="25"/>
    </row>
    <row r="10" spans="1:6" ht="15.75" customHeight="1" x14ac:dyDescent="0.25">
      <c r="A10" s="319" t="s">
        <v>951</v>
      </c>
      <c r="B10" s="320"/>
      <c r="C10" s="320"/>
      <c r="D10" s="320"/>
      <c r="E10" s="320"/>
      <c r="F10" s="321"/>
    </row>
    <row r="11" spans="1:6" ht="15" customHeight="1" x14ac:dyDescent="0.25">
      <c r="A11" s="322"/>
      <c r="B11" s="323"/>
      <c r="C11" s="323"/>
      <c r="D11" s="323"/>
      <c r="E11" s="323"/>
      <c r="F11" s="324"/>
    </row>
    <row r="12" spans="1:6" ht="15" customHeight="1" x14ac:dyDescent="0.25">
      <c r="A12" s="325"/>
      <c r="B12" s="326"/>
      <c r="C12" s="326"/>
      <c r="D12" s="326"/>
      <c r="E12" s="326"/>
      <c r="F12" s="327"/>
    </row>
    <row r="13" spans="1:6" ht="15.75" x14ac:dyDescent="0.25">
      <c r="A13" s="3" t="s">
        <v>0</v>
      </c>
      <c r="B13" s="3"/>
      <c r="C13" s="3"/>
      <c r="D13" s="4" t="s">
        <v>2</v>
      </c>
      <c r="E13" s="3" t="s">
        <v>3</v>
      </c>
      <c r="F13" s="3" t="s">
        <v>4</v>
      </c>
    </row>
    <row r="14" spans="1:6" ht="15.75" x14ac:dyDescent="0.25">
      <c r="A14" s="38" t="s">
        <v>550</v>
      </c>
      <c r="B14" s="38"/>
      <c r="C14" s="39"/>
      <c r="D14" s="40">
        <v>2068489005</v>
      </c>
      <c r="E14" s="38" t="s">
        <v>555</v>
      </c>
      <c r="F14" s="41" t="s">
        <v>556</v>
      </c>
    </row>
    <row r="15" spans="1:6" ht="15.75" x14ac:dyDescent="0.25">
      <c r="A15" s="38" t="s">
        <v>550</v>
      </c>
      <c r="B15" s="38"/>
      <c r="C15" s="39"/>
      <c r="D15" s="40">
        <v>1105670946</v>
      </c>
      <c r="E15" s="38" t="s">
        <v>906</v>
      </c>
      <c r="F15" s="41" t="s">
        <v>554</v>
      </c>
    </row>
    <row r="16" spans="1:6" ht="15.75" x14ac:dyDescent="0.25">
      <c r="A16" s="38" t="s">
        <v>550</v>
      </c>
      <c r="B16" s="38"/>
      <c r="C16" s="39"/>
      <c r="D16" s="40">
        <v>1105735138</v>
      </c>
      <c r="E16" s="38" t="s">
        <v>552</v>
      </c>
      <c r="F16" s="41" t="s">
        <v>553</v>
      </c>
    </row>
    <row r="17" spans="1:6" ht="15.75" x14ac:dyDescent="0.25">
      <c r="A17" s="38" t="s">
        <v>550</v>
      </c>
      <c r="B17" s="38"/>
      <c r="C17" s="39"/>
      <c r="D17" s="40">
        <v>2068516681</v>
      </c>
      <c r="E17" s="38" t="s">
        <v>1018</v>
      </c>
      <c r="F17" s="41" t="s">
        <v>551</v>
      </c>
    </row>
    <row r="18" spans="1:6" ht="15.75" x14ac:dyDescent="0.25">
      <c r="A18" s="38" t="s">
        <v>702</v>
      </c>
      <c r="B18" s="38"/>
      <c r="C18" s="39"/>
      <c r="D18" s="40">
        <v>1112522834</v>
      </c>
      <c r="E18" s="38" t="s">
        <v>703</v>
      </c>
      <c r="F18" s="41" t="s">
        <v>704</v>
      </c>
    </row>
    <row r="19" spans="1:6" ht="15.75" x14ac:dyDescent="0.25">
      <c r="A19" s="38" t="s">
        <v>95</v>
      </c>
      <c r="B19" s="2"/>
      <c r="C19" s="1"/>
      <c r="D19" s="42">
        <v>1975133778</v>
      </c>
      <c r="E19" s="41" t="s">
        <v>1008</v>
      </c>
      <c r="F19" s="41" t="s">
        <v>1009</v>
      </c>
    </row>
    <row r="20" spans="1:6" ht="15.75" x14ac:dyDescent="0.25">
      <c r="A20" s="38" t="s">
        <v>95</v>
      </c>
      <c r="B20" s="38"/>
      <c r="C20" s="39"/>
      <c r="D20" s="40">
        <v>1105929010</v>
      </c>
      <c r="E20" s="41" t="s">
        <v>952</v>
      </c>
      <c r="F20" s="41" t="s">
        <v>386</v>
      </c>
    </row>
    <row r="21" spans="1:6" ht="15.75" x14ac:dyDescent="0.25">
      <c r="A21" s="38" t="s">
        <v>95</v>
      </c>
      <c r="B21" s="38"/>
      <c r="C21" s="39"/>
      <c r="D21" s="40">
        <v>1112390834</v>
      </c>
      <c r="E21" s="41" t="s">
        <v>953</v>
      </c>
      <c r="F21" s="41" t="s">
        <v>712</v>
      </c>
    </row>
    <row r="22" spans="1:6" ht="15.75" x14ac:dyDescent="0.25">
      <c r="A22" s="38" t="s">
        <v>95</v>
      </c>
      <c r="B22" s="38"/>
      <c r="C22" s="39"/>
      <c r="D22" s="40">
        <v>1106798610</v>
      </c>
      <c r="E22" s="41" t="s">
        <v>97</v>
      </c>
      <c r="F22" s="41" t="s">
        <v>713</v>
      </c>
    </row>
    <row r="23" spans="1:6" ht="15.75" x14ac:dyDescent="0.25">
      <c r="A23" s="38" t="s">
        <v>95</v>
      </c>
      <c r="B23" s="38"/>
      <c r="C23" s="39"/>
      <c r="D23" s="40">
        <v>2068477763</v>
      </c>
      <c r="E23" s="41" t="s">
        <v>954</v>
      </c>
      <c r="F23" s="41" t="s">
        <v>714</v>
      </c>
    </row>
    <row r="24" spans="1:6" ht="15.75" x14ac:dyDescent="0.25">
      <c r="A24" s="38" t="s">
        <v>95</v>
      </c>
      <c r="B24" s="38"/>
      <c r="C24" s="39"/>
      <c r="D24" s="40">
        <v>1105583842</v>
      </c>
      <c r="E24" s="41" t="s">
        <v>955</v>
      </c>
      <c r="F24" s="41" t="s">
        <v>717</v>
      </c>
    </row>
    <row r="25" spans="1:6" ht="15.75" x14ac:dyDescent="0.25">
      <c r="A25" s="38" t="s">
        <v>95</v>
      </c>
      <c r="B25" s="38"/>
      <c r="C25" s="39"/>
      <c r="D25" s="40">
        <v>1105616818</v>
      </c>
      <c r="E25" s="41" t="s">
        <v>956</v>
      </c>
      <c r="F25" s="41" t="s">
        <v>715</v>
      </c>
    </row>
    <row r="26" spans="1:6" ht="15.75" x14ac:dyDescent="0.25">
      <c r="A26" s="38" t="s">
        <v>95</v>
      </c>
      <c r="B26" s="38"/>
      <c r="C26" s="39"/>
      <c r="D26" s="40">
        <v>1112452018</v>
      </c>
      <c r="E26" s="41" t="s">
        <v>98</v>
      </c>
      <c r="F26" s="41" t="s">
        <v>716</v>
      </c>
    </row>
    <row r="27" spans="1:6" ht="15.75" x14ac:dyDescent="0.25">
      <c r="A27" s="38" t="s">
        <v>95</v>
      </c>
      <c r="B27" s="38"/>
      <c r="C27" s="39"/>
      <c r="D27" s="40">
        <v>1112819442</v>
      </c>
      <c r="E27" s="41" t="s">
        <v>99</v>
      </c>
      <c r="F27" s="41" t="s">
        <v>389</v>
      </c>
    </row>
    <row r="28" spans="1:6" ht="15.75" x14ac:dyDescent="0.25">
      <c r="A28" s="38" t="s">
        <v>95</v>
      </c>
      <c r="B28" s="38"/>
      <c r="C28" s="39"/>
      <c r="D28" s="40">
        <v>1106817682</v>
      </c>
      <c r="E28" s="41" t="s">
        <v>100</v>
      </c>
      <c r="F28" s="41" t="s">
        <v>718</v>
      </c>
    </row>
    <row r="29" spans="1:6" ht="15.75" x14ac:dyDescent="0.25">
      <c r="A29" s="38" t="s">
        <v>95</v>
      </c>
      <c r="B29" s="38"/>
      <c r="C29" s="39"/>
      <c r="D29" s="40">
        <v>2068480131</v>
      </c>
      <c r="E29" s="38" t="s">
        <v>101</v>
      </c>
      <c r="F29" s="38" t="s">
        <v>390</v>
      </c>
    </row>
    <row r="30" spans="1:6" ht="15.75" x14ac:dyDescent="0.25">
      <c r="A30" s="38" t="s">
        <v>95</v>
      </c>
      <c r="B30" s="38"/>
      <c r="C30" s="39"/>
      <c r="D30" s="40">
        <v>2315059195</v>
      </c>
      <c r="E30" s="38" t="s">
        <v>200</v>
      </c>
      <c r="F30" s="38" t="s">
        <v>391</v>
      </c>
    </row>
    <row r="31" spans="1:6" ht="15.75" x14ac:dyDescent="0.25">
      <c r="A31" s="38" t="s">
        <v>95</v>
      </c>
      <c r="B31" s="38"/>
      <c r="C31" s="39"/>
      <c r="D31" s="40">
        <v>1112342578</v>
      </c>
      <c r="E31" s="38" t="s">
        <v>201</v>
      </c>
      <c r="F31" s="38" t="s">
        <v>392</v>
      </c>
    </row>
    <row r="32" spans="1:6" ht="15.75" x14ac:dyDescent="0.25">
      <c r="A32" s="38" t="s">
        <v>95</v>
      </c>
      <c r="B32" s="38"/>
      <c r="C32" s="39"/>
      <c r="D32" s="40">
        <v>1112822850</v>
      </c>
      <c r="E32" s="38" t="s">
        <v>385</v>
      </c>
      <c r="F32" s="38" t="s">
        <v>387</v>
      </c>
    </row>
    <row r="33" spans="1:6" ht="15.75" x14ac:dyDescent="0.25">
      <c r="A33" s="38" t="s">
        <v>95</v>
      </c>
      <c r="B33" s="38"/>
      <c r="C33" s="39"/>
      <c r="D33" s="40">
        <v>2068549828</v>
      </c>
      <c r="E33" s="41" t="s">
        <v>853</v>
      </c>
      <c r="F33" s="41" t="s">
        <v>388</v>
      </c>
    </row>
    <row r="34" spans="1:6" ht="15.75" x14ac:dyDescent="0.25">
      <c r="A34" s="38" t="s">
        <v>95</v>
      </c>
      <c r="B34" s="38"/>
      <c r="C34" s="39"/>
      <c r="D34" s="40">
        <v>1105974642</v>
      </c>
      <c r="E34" s="41" t="s">
        <v>96</v>
      </c>
      <c r="F34" s="41" t="s">
        <v>719</v>
      </c>
    </row>
    <row r="35" spans="1:6" ht="15.75" x14ac:dyDescent="0.25">
      <c r="A35" s="50" t="s">
        <v>708</v>
      </c>
      <c r="B35" s="38"/>
      <c r="C35" s="39"/>
      <c r="D35" s="40">
        <v>3241530381</v>
      </c>
      <c r="E35" s="38" t="s">
        <v>710</v>
      </c>
      <c r="F35" s="41"/>
    </row>
    <row r="36" spans="1:6" ht="15.75" x14ac:dyDescent="0.25">
      <c r="A36" s="50" t="s">
        <v>708</v>
      </c>
      <c r="B36" s="38"/>
      <c r="C36" s="39"/>
      <c r="D36" s="40">
        <v>3244281037</v>
      </c>
      <c r="E36" s="38" t="s">
        <v>709</v>
      </c>
      <c r="F36" s="41"/>
    </row>
    <row r="37" spans="1:6" ht="15.75" x14ac:dyDescent="0.25">
      <c r="A37" s="50" t="s">
        <v>34</v>
      </c>
      <c r="B37" s="2"/>
      <c r="C37" s="1"/>
      <c r="D37" s="40"/>
      <c r="E37" s="38" t="s">
        <v>987</v>
      </c>
      <c r="F37" s="41"/>
    </row>
    <row r="38" spans="1:6" ht="15.75" x14ac:dyDescent="0.25">
      <c r="A38" s="38" t="s">
        <v>34</v>
      </c>
      <c r="B38" s="38"/>
      <c r="C38" s="39"/>
      <c r="D38" s="42">
        <v>1105412658</v>
      </c>
      <c r="E38" s="43" t="s">
        <v>35</v>
      </c>
      <c r="F38" s="43" t="s">
        <v>729</v>
      </c>
    </row>
    <row r="39" spans="1:6" ht="15.75" x14ac:dyDescent="0.25">
      <c r="A39" s="38" t="s">
        <v>34</v>
      </c>
      <c r="B39" s="38"/>
      <c r="C39" s="39"/>
      <c r="D39" s="42">
        <v>3169369810</v>
      </c>
      <c r="E39" s="43" t="s">
        <v>841</v>
      </c>
      <c r="F39" s="43"/>
    </row>
    <row r="40" spans="1:6" ht="15.75" x14ac:dyDescent="0.25">
      <c r="A40" s="38" t="s">
        <v>34</v>
      </c>
      <c r="B40" s="38"/>
      <c r="C40" s="39"/>
      <c r="D40" s="42">
        <v>1105448402</v>
      </c>
      <c r="E40" s="43" t="s">
        <v>36</v>
      </c>
      <c r="F40" s="43" t="s">
        <v>429</v>
      </c>
    </row>
    <row r="41" spans="1:6" ht="15.75" x14ac:dyDescent="0.25">
      <c r="A41" s="38" t="s">
        <v>34</v>
      </c>
      <c r="B41" s="38"/>
      <c r="C41" s="39"/>
      <c r="D41" s="42">
        <v>1106825762</v>
      </c>
      <c r="E41" s="41" t="s">
        <v>37</v>
      </c>
      <c r="F41" s="41" t="s">
        <v>428</v>
      </c>
    </row>
    <row r="42" spans="1:6" ht="15.75" x14ac:dyDescent="0.25">
      <c r="A42" s="38" t="s">
        <v>34</v>
      </c>
      <c r="B42" s="38"/>
      <c r="C42" s="39"/>
      <c r="D42" s="42">
        <v>2757600164</v>
      </c>
      <c r="E42" s="43" t="s">
        <v>239</v>
      </c>
      <c r="F42" s="43" t="s">
        <v>730</v>
      </c>
    </row>
    <row r="43" spans="1:6" ht="15.75" x14ac:dyDescent="0.25">
      <c r="A43" s="38" t="s">
        <v>34</v>
      </c>
      <c r="B43" s="38"/>
      <c r="C43" s="39"/>
      <c r="D43" s="42">
        <v>1112483586</v>
      </c>
      <c r="E43" s="43" t="s">
        <v>38</v>
      </c>
      <c r="F43" s="43" t="s">
        <v>723</v>
      </c>
    </row>
    <row r="44" spans="1:6" ht="15.75" x14ac:dyDescent="0.25">
      <c r="A44" s="38" t="s">
        <v>34</v>
      </c>
      <c r="B44" s="38"/>
      <c r="C44" s="39"/>
      <c r="D44" s="42">
        <v>2315078762</v>
      </c>
      <c r="E44" s="43" t="s">
        <v>39</v>
      </c>
      <c r="F44" s="43" t="s">
        <v>732</v>
      </c>
    </row>
    <row r="45" spans="1:6" ht="15.75" x14ac:dyDescent="0.25">
      <c r="A45" s="38" t="s">
        <v>34</v>
      </c>
      <c r="B45" s="38"/>
      <c r="C45" s="39"/>
      <c r="D45" s="42">
        <v>1105441218</v>
      </c>
      <c r="E45" s="43" t="s">
        <v>40</v>
      </c>
      <c r="F45" s="43" t="s">
        <v>733</v>
      </c>
    </row>
    <row r="46" spans="1:6" ht="15.75" x14ac:dyDescent="0.25">
      <c r="A46" s="38" t="s">
        <v>34</v>
      </c>
      <c r="B46" s="38"/>
      <c r="C46" s="39"/>
      <c r="D46" s="42">
        <v>1106167474</v>
      </c>
      <c r="E46" s="43" t="s">
        <v>41</v>
      </c>
      <c r="F46" s="43" t="s">
        <v>734</v>
      </c>
    </row>
    <row r="47" spans="1:6" ht="15.75" x14ac:dyDescent="0.25">
      <c r="A47" s="38" t="s">
        <v>34</v>
      </c>
      <c r="B47" s="38"/>
      <c r="C47" s="39"/>
      <c r="D47" s="42">
        <v>2315108759</v>
      </c>
      <c r="E47" s="41" t="s">
        <v>42</v>
      </c>
      <c r="F47" s="41"/>
    </row>
    <row r="48" spans="1:6" ht="15.75" x14ac:dyDescent="0.25">
      <c r="A48" s="51" t="s">
        <v>14</v>
      </c>
      <c r="B48" s="51"/>
      <c r="C48" s="39"/>
      <c r="D48" s="42">
        <v>2297784554</v>
      </c>
      <c r="E48" s="41" t="s">
        <v>15</v>
      </c>
      <c r="F48" s="41" t="s">
        <v>735</v>
      </c>
    </row>
    <row r="49" spans="1:6" ht="15.75" x14ac:dyDescent="0.25">
      <c r="A49" s="38" t="s">
        <v>22</v>
      </c>
      <c r="B49" s="38"/>
      <c r="C49" s="39"/>
      <c r="D49" s="40">
        <v>3240736157</v>
      </c>
      <c r="E49" s="41" t="s">
        <v>418</v>
      </c>
      <c r="F49" s="41"/>
    </row>
    <row r="50" spans="1:6" ht="15.75" x14ac:dyDescent="0.25">
      <c r="A50" s="38" t="s">
        <v>22</v>
      </c>
      <c r="B50" s="38"/>
      <c r="C50" s="39"/>
      <c r="D50" s="40">
        <v>3171131026</v>
      </c>
      <c r="E50" s="41" t="s">
        <v>477</v>
      </c>
      <c r="F50" s="41" t="s">
        <v>478</v>
      </c>
    </row>
    <row r="51" spans="1:6" ht="15.75" x14ac:dyDescent="0.25">
      <c r="A51" s="38" t="s">
        <v>22</v>
      </c>
      <c r="B51" s="38"/>
      <c r="C51" s="39"/>
      <c r="D51" s="42">
        <v>1112307426</v>
      </c>
      <c r="E51" s="43" t="s">
        <v>957</v>
      </c>
      <c r="F51" s="43" t="s">
        <v>417</v>
      </c>
    </row>
    <row r="52" spans="1:6" ht="15.75" x14ac:dyDescent="0.25">
      <c r="A52" s="38" t="s">
        <v>22</v>
      </c>
      <c r="B52" s="38"/>
      <c r="C52" s="39"/>
      <c r="D52" s="42">
        <v>2315068290</v>
      </c>
      <c r="E52" s="41" t="s">
        <v>23</v>
      </c>
      <c r="F52" s="41" t="s">
        <v>728</v>
      </c>
    </row>
    <row r="53" spans="1:6" ht="15.75" x14ac:dyDescent="0.25">
      <c r="A53" s="38" t="s">
        <v>22</v>
      </c>
      <c r="B53" s="38"/>
      <c r="C53" s="39"/>
      <c r="D53" s="42">
        <v>1106927074</v>
      </c>
      <c r="E53" s="41" t="s">
        <v>850</v>
      </c>
      <c r="F53" s="41" t="s">
        <v>736</v>
      </c>
    </row>
    <row r="54" spans="1:6" ht="15.75" x14ac:dyDescent="0.25">
      <c r="A54" s="38" t="s">
        <v>22</v>
      </c>
      <c r="B54" s="38"/>
      <c r="C54" s="39"/>
      <c r="D54" s="42">
        <v>1106829394</v>
      </c>
      <c r="E54" s="41" t="s">
        <v>24</v>
      </c>
      <c r="F54" s="41"/>
    </row>
    <row r="55" spans="1:6" ht="15.75" x14ac:dyDescent="0.25">
      <c r="A55" s="38" t="s">
        <v>22</v>
      </c>
      <c r="B55" s="38"/>
      <c r="C55" s="39"/>
      <c r="D55" s="42">
        <v>1105443746</v>
      </c>
      <c r="E55" s="41" t="s">
        <v>25</v>
      </c>
      <c r="F55" s="41"/>
    </row>
    <row r="56" spans="1:6" ht="15.75" x14ac:dyDescent="0.25">
      <c r="A56" s="51" t="s">
        <v>26</v>
      </c>
      <c r="B56" s="51"/>
      <c r="C56" s="39"/>
      <c r="D56" s="40"/>
      <c r="E56" s="41" t="s">
        <v>958</v>
      </c>
      <c r="F56" s="38"/>
    </row>
    <row r="57" spans="1:6" ht="15.75" x14ac:dyDescent="0.25">
      <c r="A57" s="51" t="s">
        <v>26</v>
      </c>
      <c r="B57" s="51"/>
      <c r="C57" s="39"/>
      <c r="D57" s="40">
        <v>2297713242</v>
      </c>
      <c r="E57" s="41" t="s">
        <v>27</v>
      </c>
      <c r="F57" s="38" t="s">
        <v>423</v>
      </c>
    </row>
    <row r="58" spans="1:6" ht="15.75" x14ac:dyDescent="0.25">
      <c r="A58" s="51" t="s">
        <v>26</v>
      </c>
      <c r="B58" s="51"/>
      <c r="C58" s="39"/>
      <c r="D58" s="40">
        <v>2068477698</v>
      </c>
      <c r="E58" s="41" t="s">
        <v>28</v>
      </c>
      <c r="F58" s="38" t="s">
        <v>422</v>
      </c>
    </row>
    <row r="59" spans="1:6" ht="15.75" x14ac:dyDescent="0.25">
      <c r="A59" s="51" t="s">
        <v>26</v>
      </c>
      <c r="B59" s="51"/>
      <c r="C59" s="39"/>
      <c r="D59" s="40">
        <v>1106727874</v>
      </c>
      <c r="E59" s="41" t="s">
        <v>29</v>
      </c>
      <c r="F59" s="38" t="s">
        <v>420</v>
      </c>
    </row>
    <row r="60" spans="1:6" ht="15.75" x14ac:dyDescent="0.25">
      <c r="A60" s="51" t="s">
        <v>26</v>
      </c>
      <c r="B60" s="51"/>
      <c r="C60" s="39"/>
      <c r="D60" s="40">
        <v>1112626386</v>
      </c>
      <c r="E60" s="41" t="s">
        <v>1023</v>
      </c>
      <c r="F60" s="38" t="s">
        <v>737</v>
      </c>
    </row>
    <row r="61" spans="1:6" ht="15.75" x14ac:dyDescent="0.25">
      <c r="A61" s="51" t="s">
        <v>26</v>
      </c>
      <c r="B61" s="51"/>
      <c r="C61" s="39"/>
      <c r="D61" s="40">
        <v>1112293970</v>
      </c>
      <c r="E61" s="41" t="s">
        <v>959</v>
      </c>
      <c r="F61" s="38" t="s">
        <v>419</v>
      </c>
    </row>
    <row r="62" spans="1:6" ht="15.75" x14ac:dyDescent="0.25">
      <c r="A62" s="51" t="s">
        <v>26</v>
      </c>
      <c r="B62" s="51"/>
      <c r="C62" s="39"/>
      <c r="D62" s="40">
        <v>1140851088</v>
      </c>
      <c r="E62" s="41" t="s">
        <v>812</v>
      </c>
      <c r="F62" s="38" t="s">
        <v>421</v>
      </c>
    </row>
    <row r="63" spans="1:6" ht="15.75" x14ac:dyDescent="0.25">
      <c r="A63" s="51" t="s">
        <v>26</v>
      </c>
      <c r="B63" s="51"/>
      <c r="C63" s="39"/>
      <c r="D63" s="40">
        <v>2068543902</v>
      </c>
      <c r="E63" s="41" t="s">
        <v>30</v>
      </c>
      <c r="F63" s="38" t="s">
        <v>425</v>
      </c>
    </row>
    <row r="64" spans="1:6" ht="15.75" x14ac:dyDescent="0.25">
      <c r="A64" s="51" t="s">
        <v>26</v>
      </c>
      <c r="B64" s="51"/>
      <c r="C64" s="39"/>
      <c r="D64" s="40">
        <v>2315084493</v>
      </c>
      <c r="E64" s="41" t="s">
        <v>31</v>
      </c>
      <c r="F64" s="38" t="s">
        <v>427</v>
      </c>
    </row>
    <row r="65" spans="1:6" ht="15.75" x14ac:dyDescent="0.25">
      <c r="A65" s="51" t="s">
        <v>26</v>
      </c>
      <c r="B65" s="51"/>
      <c r="C65" s="39"/>
      <c r="D65" s="40"/>
      <c r="E65" s="41" t="s">
        <v>32</v>
      </c>
      <c r="F65" s="38" t="s">
        <v>424</v>
      </c>
    </row>
    <row r="66" spans="1:6" ht="15.75" x14ac:dyDescent="0.25">
      <c r="A66" s="51" t="s">
        <v>26</v>
      </c>
      <c r="B66" s="51"/>
      <c r="C66" s="39"/>
      <c r="D66" s="40">
        <v>1106851106</v>
      </c>
      <c r="E66" s="41" t="s">
        <v>33</v>
      </c>
      <c r="F66" s="38" t="s">
        <v>426</v>
      </c>
    </row>
    <row r="67" spans="1:6" ht="15.75" x14ac:dyDescent="0.25">
      <c r="A67" s="51" t="s">
        <v>16</v>
      </c>
      <c r="B67" s="51"/>
      <c r="C67" s="39"/>
      <c r="D67" s="42">
        <v>1105699170</v>
      </c>
      <c r="E67" s="41" t="s">
        <v>839</v>
      </c>
      <c r="F67" s="41" t="s">
        <v>416</v>
      </c>
    </row>
    <row r="68" spans="1:6" ht="15.75" x14ac:dyDescent="0.25">
      <c r="A68" s="51" t="s">
        <v>16</v>
      </c>
      <c r="B68" s="51"/>
      <c r="C68" s="39"/>
      <c r="D68" s="42">
        <v>1106736770</v>
      </c>
      <c r="E68" s="41" t="s">
        <v>826</v>
      </c>
      <c r="F68" s="41" t="s">
        <v>731</v>
      </c>
    </row>
    <row r="69" spans="1:6" ht="15.75" x14ac:dyDescent="0.25">
      <c r="A69" s="51" t="s">
        <v>16</v>
      </c>
      <c r="B69" s="51"/>
      <c r="C69" s="39"/>
      <c r="D69" s="42">
        <v>1105449074</v>
      </c>
      <c r="E69" s="41" t="s">
        <v>17</v>
      </c>
      <c r="F69" s="41"/>
    </row>
    <row r="70" spans="1:6" ht="15.75" x14ac:dyDescent="0.25">
      <c r="A70" s="51" t="s">
        <v>16</v>
      </c>
      <c r="B70" s="51"/>
      <c r="C70" s="39"/>
      <c r="D70" s="42">
        <v>1106837874</v>
      </c>
      <c r="E70" s="41" t="s">
        <v>811</v>
      </c>
      <c r="F70" s="41"/>
    </row>
    <row r="71" spans="1:6" ht="15.75" x14ac:dyDescent="0.25">
      <c r="A71" s="51" t="s">
        <v>16</v>
      </c>
      <c r="B71" s="51"/>
      <c r="C71" s="39"/>
      <c r="D71" s="42">
        <v>1113354018</v>
      </c>
      <c r="E71" s="41" t="s">
        <v>1019</v>
      </c>
      <c r="F71" s="41" t="s">
        <v>415</v>
      </c>
    </row>
    <row r="72" spans="1:6" ht="15.75" x14ac:dyDescent="0.25">
      <c r="A72" s="51" t="s">
        <v>16</v>
      </c>
      <c r="B72" s="51"/>
      <c r="C72" s="39"/>
      <c r="D72" s="42">
        <v>1105425506</v>
      </c>
      <c r="E72" s="41" t="s">
        <v>18</v>
      </c>
      <c r="F72" s="41"/>
    </row>
    <row r="73" spans="1:6" ht="15.75" x14ac:dyDescent="0.25">
      <c r="A73" s="51" t="s">
        <v>16</v>
      </c>
      <c r="B73" s="51"/>
      <c r="C73" s="39"/>
      <c r="D73" s="42">
        <v>1112154914</v>
      </c>
      <c r="E73" s="41" t="s">
        <v>19</v>
      </c>
      <c r="F73" s="41"/>
    </row>
    <row r="74" spans="1:6" ht="15.75" x14ac:dyDescent="0.25">
      <c r="A74" s="51" t="s">
        <v>16</v>
      </c>
      <c r="B74" s="51"/>
      <c r="C74" s="39"/>
      <c r="D74" s="42">
        <v>1112798706</v>
      </c>
      <c r="E74" s="41" t="s">
        <v>20</v>
      </c>
      <c r="F74" s="41" t="s">
        <v>725</v>
      </c>
    </row>
    <row r="75" spans="1:6" ht="15.75" x14ac:dyDescent="0.25">
      <c r="A75" s="51" t="s">
        <v>16</v>
      </c>
      <c r="B75" s="51"/>
      <c r="C75" s="39"/>
      <c r="D75" s="42">
        <v>2757628954</v>
      </c>
      <c r="E75" s="41" t="s">
        <v>21</v>
      </c>
      <c r="F75" s="41"/>
    </row>
    <row r="76" spans="1:6" ht="15.75" x14ac:dyDescent="0.25">
      <c r="A76" s="38" t="s">
        <v>1038</v>
      </c>
      <c r="B76" s="2"/>
      <c r="C76" s="1"/>
      <c r="D76" s="42">
        <v>3158008706</v>
      </c>
      <c r="E76" s="41" t="s">
        <v>1039</v>
      </c>
      <c r="F76" s="41"/>
    </row>
    <row r="77" spans="1:6" ht="15.75" x14ac:dyDescent="0.25">
      <c r="A77" s="38" t="s">
        <v>43</v>
      </c>
      <c r="B77" s="38"/>
      <c r="C77" s="39"/>
      <c r="D77" s="42">
        <v>2315099590</v>
      </c>
      <c r="E77" s="41" t="s">
        <v>44</v>
      </c>
      <c r="F77" s="41" t="s">
        <v>442</v>
      </c>
    </row>
    <row r="78" spans="1:6" ht="15.75" x14ac:dyDescent="0.25">
      <c r="A78" s="38" t="s">
        <v>43</v>
      </c>
      <c r="B78" s="38"/>
      <c r="C78" s="39"/>
      <c r="D78" s="42">
        <v>2068522114</v>
      </c>
      <c r="E78" s="41" t="s">
        <v>960</v>
      </c>
      <c r="F78" s="41" t="s">
        <v>443</v>
      </c>
    </row>
    <row r="79" spans="1:6" ht="15.75" x14ac:dyDescent="0.25">
      <c r="A79" s="38" t="s">
        <v>43</v>
      </c>
      <c r="B79" s="38"/>
      <c r="C79" s="39"/>
      <c r="D79" s="42">
        <v>1106095186</v>
      </c>
      <c r="E79" s="41" t="s">
        <v>961</v>
      </c>
      <c r="F79" s="41"/>
    </row>
    <row r="80" spans="1:6" ht="15.75" x14ac:dyDescent="0.25">
      <c r="A80" s="38" t="s">
        <v>43</v>
      </c>
      <c r="B80" s="38"/>
      <c r="C80" s="39"/>
      <c r="D80" s="42">
        <v>1106827666</v>
      </c>
      <c r="E80" s="41" t="s">
        <v>990</v>
      </c>
      <c r="F80" s="41"/>
    </row>
    <row r="81" spans="1:6" ht="15.75" x14ac:dyDescent="0.25">
      <c r="A81" s="38" t="s">
        <v>43</v>
      </c>
      <c r="B81" s="38"/>
      <c r="C81" s="39"/>
      <c r="D81" s="42">
        <v>1105551714</v>
      </c>
      <c r="E81" s="41" t="s">
        <v>45</v>
      </c>
      <c r="F81" s="41" t="s">
        <v>441</v>
      </c>
    </row>
    <row r="82" spans="1:6" ht="15.75" x14ac:dyDescent="0.25">
      <c r="A82" s="38" t="s">
        <v>43</v>
      </c>
      <c r="B82" s="38"/>
      <c r="C82" s="39"/>
      <c r="D82" s="40">
        <v>2315127223</v>
      </c>
      <c r="E82" s="41" t="s">
        <v>53</v>
      </c>
      <c r="F82" s="41" t="s">
        <v>166</v>
      </c>
    </row>
    <row r="83" spans="1:6" ht="15.75" x14ac:dyDescent="0.25">
      <c r="A83" s="38" t="s">
        <v>46</v>
      </c>
      <c r="B83" s="38"/>
      <c r="C83" s="39"/>
      <c r="D83" s="42">
        <v>1113087442</v>
      </c>
      <c r="E83" s="41" t="s">
        <v>47</v>
      </c>
      <c r="F83" s="41" t="s">
        <v>440</v>
      </c>
    </row>
    <row r="84" spans="1:6" ht="15.75" x14ac:dyDescent="0.25">
      <c r="A84" s="38" t="s">
        <v>46</v>
      </c>
      <c r="B84" s="38"/>
      <c r="C84" s="39"/>
      <c r="D84" s="42">
        <v>2512191610</v>
      </c>
      <c r="E84" s="41" t="s">
        <v>1026</v>
      </c>
      <c r="F84" s="41" t="s">
        <v>437</v>
      </c>
    </row>
    <row r="85" spans="1:6" ht="15.75" x14ac:dyDescent="0.25">
      <c r="A85" s="38" t="s">
        <v>46</v>
      </c>
      <c r="B85" s="38"/>
      <c r="C85" s="39"/>
      <c r="D85" s="42">
        <v>3170088466</v>
      </c>
      <c r="E85" s="41" t="s">
        <v>1028</v>
      </c>
      <c r="F85" s="41" t="s">
        <v>438</v>
      </c>
    </row>
    <row r="86" spans="1:6" ht="15.75" x14ac:dyDescent="0.25">
      <c r="A86" s="38" t="s">
        <v>46</v>
      </c>
      <c r="B86" s="38"/>
      <c r="C86" s="39"/>
      <c r="D86" s="42">
        <v>2068523317</v>
      </c>
      <c r="E86" s="41" t="s">
        <v>1027</v>
      </c>
      <c r="F86" s="41" t="s">
        <v>439</v>
      </c>
    </row>
    <row r="87" spans="1:6" ht="15.75" x14ac:dyDescent="0.25">
      <c r="A87" s="38" t="s">
        <v>46</v>
      </c>
      <c r="B87" s="38"/>
      <c r="C87" s="39"/>
      <c r="D87" s="42">
        <v>3230632253</v>
      </c>
      <c r="E87" s="41" t="s">
        <v>48</v>
      </c>
      <c r="F87" s="41"/>
    </row>
    <row r="88" spans="1:6" ht="15.75" x14ac:dyDescent="0.25">
      <c r="A88" s="38" t="s">
        <v>49</v>
      </c>
      <c r="B88" s="38"/>
      <c r="C88" s="39"/>
      <c r="D88" s="42">
        <v>1112473970</v>
      </c>
      <c r="E88" s="41" t="s">
        <v>962</v>
      </c>
      <c r="F88" s="41" t="s">
        <v>433</v>
      </c>
    </row>
    <row r="89" spans="1:6" ht="15.75" x14ac:dyDescent="0.25">
      <c r="A89" s="38" t="s">
        <v>49</v>
      </c>
      <c r="B89" s="38"/>
      <c r="C89" s="39"/>
      <c r="D89" s="42">
        <v>1113363474</v>
      </c>
      <c r="E89" s="41" t="s">
        <v>50</v>
      </c>
      <c r="F89" s="41" t="s">
        <v>436</v>
      </c>
    </row>
    <row r="90" spans="1:6" ht="15.75" x14ac:dyDescent="0.25">
      <c r="A90" s="38" t="s">
        <v>49</v>
      </c>
      <c r="B90" s="38"/>
      <c r="C90" s="39"/>
      <c r="D90" s="42">
        <v>2390560394</v>
      </c>
      <c r="E90" s="41" t="s">
        <v>963</v>
      </c>
      <c r="F90" s="41" t="s">
        <v>434</v>
      </c>
    </row>
    <row r="91" spans="1:6" ht="15.75" x14ac:dyDescent="0.25">
      <c r="A91" s="38" t="s">
        <v>49</v>
      </c>
      <c r="B91" s="38"/>
      <c r="C91" s="39"/>
      <c r="D91" s="42">
        <v>1105441778</v>
      </c>
      <c r="E91" s="41" t="s">
        <v>964</v>
      </c>
      <c r="F91" s="41" t="s">
        <v>432</v>
      </c>
    </row>
    <row r="92" spans="1:6" ht="15.75" x14ac:dyDescent="0.25">
      <c r="A92" s="38" t="s">
        <v>49</v>
      </c>
      <c r="B92" s="38"/>
      <c r="C92" s="39"/>
      <c r="D92" s="42">
        <v>1113042994</v>
      </c>
      <c r="E92" s="41" t="s">
        <v>51</v>
      </c>
      <c r="F92" s="41" t="s">
        <v>435</v>
      </c>
    </row>
    <row r="93" spans="1:6" ht="15.75" x14ac:dyDescent="0.25">
      <c r="A93" s="38" t="s">
        <v>52</v>
      </c>
      <c r="B93" s="38"/>
      <c r="C93" s="39"/>
      <c r="D93" s="40">
        <v>1106155314</v>
      </c>
      <c r="E93" s="41" t="s">
        <v>965</v>
      </c>
      <c r="F93" s="41"/>
    </row>
    <row r="94" spans="1:6" ht="15.75" x14ac:dyDescent="0.25">
      <c r="A94" s="38" t="s">
        <v>52</v>
      </c>
      <c r="B94" s="38"/>
      <c r="C94" s="39"/>
      <c r="D94" s="40">
        <v>2297712394</v>
      </c>
      <c r="E94" s="41" t="s">
        <v>54</v>
      </c>
      <c r="F94" s="41"/>
    </row>
    <row r="95" spans="1:6" ht="15.75" x14ac:dyDescent="0.25">
      <c r="A95" s="38" t="s">
        <v>52</v>
      </c>
      <c r="B95" s="38"/>
      <c r="C95" s="39"/>
      <c r="D95" s="52"/>
      <c r="E95" s="41" t="s">
        <v>55</v>
      </c>
      <c r="F95" s="41" t="s">
        <v>739</v>
      </c>
    </row>
    <row r="96" spans="1:6" ht="15.75" x14ac:dyDescent="0.25">
      <c r="A96" s="38" t="s">
        <v>52</v>
      </c>
      <c r="B96" s="38"/>
      <c r="C96" s="39"/>
      <c r="D96" s="40">
        <v>3169468434</v>
      </c>
      <c r="E96" s="41" t="s">
        <v>56</v>
      </c>
      <c r="F96" s="41" t="s">
        <v>167</v>
      </c>
    </row>
    <row r="97" spans="1:6" ht="15.75" x14ac:dyDescent="0.25">
      <c r="A97" s="38" t="s">
        <v>52</v>
      </c>
      <c r="B97" s="38"/>
      <c r="C97" s="39"/>
      <c r="D97" s="40">
        <v>3169702994</v>
      </c>
      <c r="E97" s="41" t="s">
        <v>966</v>
      </c>
      <c r="F97" s="41" t="s">
        <v>738</v>
      </c>
    </row>
    <row r="98" spans="1:6" ht="15.75" x14ac:dyDescent="0.25">
      <c r="A98" s="38" t="s">
        <v>52</v>
      </c>
      <c r="B98" s="38"/>
      <c r="C98" s="39"/>
      <c r="D98" s="40">
        <v>2068521554</v>
      </c>
      <c r="E98" s="41" t="s">
        <v>967</v>
      </c>
      <c r="F98" s="41"/>
    </row>
    <row r="99" spans="1:6" ht="15.75" x14ac:dyDescent="0.25">
      <c r="A99" s="38" t="s">
        <v>57</v>
      </c>
      <c r="B99" s="38"/>
      <c r="C99" s="39"/>
      <c r="D99" s="42">
        <v>1106852162</v>
      </c>
      <c r="E99" s="41" t="s">
        <v>58</v>
      </c>
      <c r="F99" s="41" t="s">
        <v>430</v>
      </c>
    </row>
    <row r="100" spans="1:6" ht="15.75" x14ac:dyDescent="0.25">
      <c r="A100" s="38" t="s">
        <v>57</v>
      </c>
      <c r="B100" s="38"/>
      <c r="C100" s="39"/>
      <c r="D100" s="42">
        <v>1105934466</v>
      </c>
      <c r="E100" s="41" t="s">
        <v>968</v>
      </c>
      <c r="F100" s="41" t="s">
        <v>743</v>
      </c>
    </row>
    <row r="101" spans="1:6" ht="15.75" x14ac:dyDescent="0.25">
      <c r="A101" s="38" t="s">
        <v>57</v>
      </c>
      <c r="B101" s="38"/>
      <c r="C101" s="39"/>
      <c r="D101" s="42">
        <v>1975189595</v>
      </c>
      <c r="E101" s="41" t="s">
        <v>59</v>
      </c>
      <c r="F101" s="41"/>
    </row>
    <row r="102" spans="1:6" ht="15.75" x14ac:dyDescent="0.25">
      <c r="A102" s="38" t="s">
        <v>57</v>
      </c>
      <c r="B102" s="38"/>
      <c r="C102" s="39"/>
      <c r="D102" s="42">
        <v>1106974818</v>
      </c>
      <c r="E102" s="41" t="s">
        <v>969</v>
      </c>
      <c r="F102" s="41"/>
    </row>
    <row r="103" spans="1:6" ht="15.75" x14ac:dyDescent="0.25">
      <c r="A103" s="38" t="s">
        <v>57</v>
      </c>
      <c r="B103" s="38"/>
      <c r="C103" s="39"/>
      <c r="D103" s="42">
        <v>1105733090</v>
      </c>
      <c r="E103" s="41" t="s">
        <v>60</v>
      </c>
      <c r="F103" s="41" t="s">
        <v>431</v>
      </c>
    </row>
    <row r="104" spans="1:6" ht="15.75" x14ac:dyDescent="0.25">
      <c r="A104" s="38" t="s">
        <v>591</v>
      </c>
      <c r="B104" s="38"/>
      <c r="C104" s="39"/>
      <c r="D104" s="40">
        <v>3169469090</v>
      </c>
      <c r="E104" s="38" t="s">
        <v>594</v>
      </c>
      <c r="F104" s="41" t="s">
        <v>595</v>
      </c>
    </row>
    <row r="105" spans="1:6" ht="15.75" x14ac:dyDescent="0.25">
      <c r="A105" s="38" t="s">
        <v>591</v>
      </c>
      <c r="B105" s="38"/>
      <c r="C105" s="39"/>
      <c r="D105" s="40">
        <v>3170451074</v>
      </c>
      <c r="E105" s="38" t="s">
        <v>592</v>
      </c>
      <c r="F105" s="41" t="s">
        <v>593</v>
      </c>
    </row>
    <row r="106" spans="1:6" ht="15.75" x14ac:dyDescent="0.25">
      <c r="A106" s="38" t="s">
        <v>103</v>
      </c>
      <c r="B106" s="2"/>
      <c r="C106" s="1"/>
      <c r="D106" s="42"/>
      <c r="E106" s="41" t="s">
        <v>1014</v>
      </c>
      <c r="F106" s="41" t="s">
        <v>1015</v>
      </c>
    </row>
    <row r="107" spans="1:6" ht="15.75" x14ac:dyDescent="0.25">
      <c r="A107" s="38" t="s">
        <v>103</v>
      </c>
      <c r="B107" s="2"/>
      <c r="C107" s="1"/>
      <c r="D107" s="42"/>
      <c r="E107" s="41" t="s">
        <v>970</v>
      </c>
      <c r="F107" s="41" t="s">
        <v>492</v>
      </c>
    </row>
    <row r="108" spans="1:6" ht="15.75" x14ac:dyDescent="0.25">
      <c r="A108" s="38" t="s">
        <v>103</v>
      </c>
      <c r="B108" s="2"/>
      <c r="C108" s="1"/>
      <c r="D108" s="42">
        <v>1528101117</v>
      </c>
      <c r="E108" s="41" t="s">
        <v>1006</v>
      </c>
      <c r="F108" s="41" t="s">
        <v>1007</v>
      </c>
    </row>
    <row r="109" spans="1:6" ht="15.75" x14ac:dyDescent="0.25">
      <c r="A109" s="38" t="s">
        <v>103</v>
      </c>
      <c r="B109" s="2"/>
      <c r="C109" s="1"/>
      <c r="D109" s="42"/>
      <c r="E109" s="41" t="s">
        <v>1001</v>
      </c>
      <c r="F109" s="41" t="s">
        <v>492</v>
      </c>
    </row>
    <row r="110" spans="1:6" ht="15.75" x14ac:dyDescent="0.25">
      <c r="A110" s="50" t="s">
        <v>103</v>
      </c>
      <c r="B110" s="2"/>
      <c r="C110" s="1"/>
      <c r="D110" s="40">
        <v>1112620546</v>
      </c>
      <c r="E110" s="38" t="s">
        <v>112</v>
      </c>
      <c r="F110" s="41" t="s">
        <v>485</v>
      </c>
    </row>
    <row r="111" spans="1:6" ht="15.75" x14ac:dyDescent="0.25">
      <c r="A111" s="50" t="s">
        <v>103</v>
      </c>
      <c r="B111" s="2"/>
      <c r="C111" s="1"/>
      <c r="D111" s="40">
        <v>1106078594</v>
      </c>
      <c r="E111" s="38" t="s">
        <v>993</v>
      </c>
      <c r="F111" s="41" t="s">
        <v>994</v>
      </c>
    </row>
    <row r="112" spans="1:6" ht="15.75" x14ac:dyDescent="0.25">
      <c r="A112" s="38" t="s">
        <v>103</v>
      </c>
      <c r="B112" s="38"/>
      <c r="C112" s="39"/>
      <c r="D112" s="40">
        <v>1112155330</v>
      </c>
      <c r="E112" s="38" t="s">
        <v>104</v>
      </c>
      <c r="F112" s="38" t="s">
        <v>169</v>
      </c>
    </row>
    <row r="113" spans="1:6" ht="15.75" x14ac:dyDescent="0.25">
      <c r="A113" s="38" t="s">
        <v>103</v>
      </c>
      <c r="B113" s="38"/>
      <c r="C113" s="39"/>
      <c r="D113" s="40">
        <v>1106738130</v>
      </c>
      <c r="E113" s="38" t="s">
        <v>105</v>
      </c>
      <c r="F113" s="38" t="s">
        <v>170</v>
      </c>
    </row>
    <row r="114" spans="1:6" ht="15.75" x14ac:dyDescent="0.25">
      <c r="A114" s="38" t="s">
        <v>103</v>
      </c>
      <c r="B114" s="38"/>
      <c r="C114" s="39"/>
      <c r="D114" s="40">
        <v>1112658962</v>
      </c>
      <c r="E114" s="38" t="s">
        <v>106</v>
      </c>
      <c r="F114" s="38" t="s">
        <v>171</v>
      </c>
    </row>
    <row r="115" spans="1:6" ht="15.75" x14ac:dyDescent="0.25">
      <c r="A115" s="38" t="s">
        <v>103</v>
      </c>
      <c r="B115" s="38"/>
      <c r="C115" s="39"/>
      <c r="D115" s="40">
        <v>1112157154</v>
      </c>
      <c r="E115" s="38" t="s">
        <v>107</v>
      </c>
      <c r="F115" s="38" t="s">
        <v>172</v>
      </c>
    </row>
    <row r="116" spans="1:6" ht="15.75" x14ac:dyDescent="0.25">
      <c r="A116" s="38" t="s">
        <v>103</v>
      </c>
      <c r="B116" s="38"/>
      <c r="C116" s="39"/>
      <c r="D116" s="40">
        <v>3245213581</v>
      </c>
      <c r="E116" s="38" t="s">
        <v>108</v>
      </c>
      <c r="F116" s="38" t="s">
        <v>481</v>
      </c>
    </row>
    <row r="117" spans="1:6" ht="15.75" x14ac:dyDescent="0.25">
      <c r="A117" s="38" t="s">
        <v>103</v>
      </c>
      <c r="B117" s="38"/>
      <c r="C117" s="39"/>
      <c r="D117" s="40">
        <v>1975167482</v>
      </c>
      <c r="E117" s="38" t="s">
        <v>109</v>
      </c>
      <c r="F117" s="38" t="s">
        <v>482</v>
      </c>
    </row>
    <row r="118" spans="1:6" ht="15.75" x14ac:dyDescent="0.25">
      <c r="A118" s="38" t="s">
        <v>103</v>
      </c>
      <c r="B118" s="38"/>
      <c r="C118" s="39"/>
      <c r="D118" s="40">
        <v>1105385218</v>
      </c>
      <c r="E118" s="38" t="s">
        <v>110</v>
      </c>
      <c r="F118" s="38" t="s">
        <v>483</v>
      </c>
    </row>
    <row r="119" spans="1:6" ht="15.75" x14ac:dyDescent="0.25">
      <c r="A119" s="38" t="s">
        <v>103</v>
      </c>
      <c r="B119" s="38"/>
      <c r="C119" s="39"/>
      <c r="D119" s="40">
        <v>1112178354</v>
      </c>
      <c r="E119" s="38" t="s">
        <v>111</v>
      </c>
      <c r="F119" s="38" t="s">
        <v>484</v>
      </c>
    </row>
    <row r="120" spans="1:6" ht="15.75" x14ac:dyDescent="0.25">
      <c r="A120" s="38" t="s">
        <v>103</v>
      </c>
      <c r="B120" s="38"/>
      <c r="C120" s="39"/>
      <c r="D120" s="40">
        <v>1112620546</v>
      </c>
      <c r="E120" s="38" t="s">
        <v>112</v>
      </c>
      <c r="F120" s="38" t="s">
        <v>485</v>
      </c>
    </row>
    <row r="121" spans="1:6" ht="15.75" x14ac:dyDescent="0.25">
      <c r="A121" s="38" t="s">
        <v>103</v>
      </c>
      <c r="B121" s="38"/>
      <c r="C121" s="39"/>
      <c r="D121" s="40">
        <v>1105587522</v>
      </c>
      <c r="E121" s="38" t="s">
        <v>113</v>
      </c>
      <c r="F121" s="38" t="s">
        <v>486</v>
      </c>
    </row>
    <row r="122" spans="1:6" ht="15.75" x14ac:dyDescent="0.25">
      <c r="A122" s="38" t="s">
        <v>103</v>
      </c>
      <c r="B122" s="38"/>
      <c r="C122" s="39"/>
      <c r="D122" s="40">
        <v>429015249</v>
      </c>
      <c r="E122" s="38" t="s">
        <v>114</v>
      </c>
      <c r="F122" s="38" t="s">
        <v>487</v>
      </c>
    </row>
    <row r="123" spans="1:6" ht="15.75" x14ac:dyDescent="0.25">
      <c r="A123" s="38" t="s">
        <v>103</v>
      </c>
      <c r="B123" s="38"/>
      <c r="C123" s="39"/>
      <c r="D123" s="40">
        <v>1106819842</v>
      </c>
      <c r="E123" s="38" t="s">
        <v>115</v>
      </c>
      <c r="F123" s="38" t="s">
        <v>488</v>
      </c>
    </row>
    <row r="124" spans="1:6" ht="15.75" x14ac:dyDescent="0.25">
      <c r="A124" s="38" t="s">
        <v>103</v>
      </c>
      <c r="B124" s="38"/>
      <c r="C124" s="39"/>
      <c r="D124" s="40"/>
      <c r="E124" s="38" t="s">
        <v>116</v>
      </c>
      <c r="F124" s="38" t="s">
        <v>489</v>
      </c>
    </row>
    <row r="125" spans="1:6" ht="15.75" x14ac:dyDescent="0.25">
      <c r="A125" s="38" t="s">
        <v>103</v>
      </c>
      <c r="B125" s="38"/>
      <c r="C125" s="39"/>
      <c r="D125" s="40">
        <v>1113430882</v>
      </c>
      <c r="E125" s="38" t="s">
        <v>117</v>
      </c>
      <c r="F125" s="38" t="s">
        <v>490</v>
      </c>
    </row>
    <row r="126" spans="1:6" ht="15.75" x14ac:dyDescent="0.25">
      <c r="A126" s="38" t="s">
        <v>103</v>
      </c>
      <c r="B126" s="38"/>
      <c r="C126" s="39"/>
      <c r="D126" s="40">
        <v>1105977506</v>
      </c>
      <c r="E126" s="38" t="s">
        <v>118</v>
      </c>
      <c r="F126" s="38" t="s">
        <v>491</v>
      </c>
    </row>
    <row r="127" spans="1:6" ht="15.75" x14ac:dyDescent="0.25">
      <c r="A127" s="38" t="s">
        <v>103</v>
      </c>
      <c r="B127" s="38"/>
      <c r="C127" s="39"/>
      <c r="D127" s="40">
        <v>1113314018</v>
      </c>
      <c r="E127" s="38" t="s">
        <v>970</v>
      </c>
      <c r="F127" s="38" t="s">
        <v>492</v>
      </c>
    </row>
    <row r="128" spans="1:6" ht="15.75" x14ac:dyDescent="0.25">
      <c r="A128" s="38" t="s">
        <v>103</v>
      </c>
      <c r="B128" s="38"/>
      <c r="C128" s="39"/>
      <c r="D128" s="40">
        <v>2315106804</v>
      </c>
      <c r="E128" s="38" t="s">
        <v>119</v>
      </c>
      <c r="F128" s="38" t="s">
        <v>493</v>
      </c>
    </row>
    <row r="129" spans="1:6" ht="15.75" x14ac:dyDescent="0.25">
      <c r="A129" s="38" t="s">
        <v>545</v>
      </c>
      <c r="B129" s="2"/>
      <c r="C129" s="1"/>
      <c r="D129" s="42"/>
      <c r="E129" s="41" t="s">
        <v>1013</v>
      </c>
      <c r="F129" s="41" t="s">
        <v>1012</v>
      </c>
    </row>
    <row r="130" spans="1:6" ht="15.75" x14ac:dyDescent="0.25">
      <c r="A130" s="38" t="s">
        <v>545</v>
      </c>
      <c r="B130" s="38"/>
      <c r="C130" s="39"/>
      <c r="D130" s="40">
        <v>1111844930</v>
      </c>
      <c r="E130" s="38" t="s">
        <v>548</v>
      </c>
      <c r="F130" s="41" t="s">
        <v>549</v>
      </c>
    </row>
    <row r="131" spans="1:6" ht="15.75" x14ac:dyDescent="0.25">
      <c r="A131" s="38" t="s">
        <v>545</v>
      </c>
      <c r="B131" s="38"/>
      <c r="C131" s="39"/>
      <c r="D131" s="40">
        <v>1112643794</v>
      </c>
      <c r="E131" s="38" t="s">
        <v>546</v>
      </c>
      <c r="F131" s="41" t="s">
        <v>547</v>
      </c>
    </row>
    <row r="132" spans="1:6" ht="15.75" x14ac:dyDescent="0.25">
      <c r="A132" s="50" t="s">
        <v>61</v>
      </c>
      <c r="B132" s="2"/>
      <c r="C132" s="1"/>
      <c r="D132" s="40">
        <v>1975218642</v>
      </c>
      <c r="E132" s="38" t="s">
        <v>980</v>
      </c>
      <c r="F132" s="41" t="s">
        <v>981</v>
      </c>
    </row>
    <row r="133" spans="1:6" ht="15.75" x14ac:dyDescent="0.25">
      <c r="A133" s="38" t="s">
        <v>61</v>
      </c>
      <c r="B133" s="38"/>
      <c r="C133" s="39"/>
      <c r="D133" s="40">
        <v>1106974690</v>
      </c>
      <c r="E133" s="41" t="s">
        <v>467</v>
      </c>
      <c r="F133" s="41" t="s">
        <v>468</v>
      </c>
    </row>
    <row r="134" spans="1:6" ht="15.75" x14ac:dyDescent="0.25">
      <c r="A134" s="38" t="s">
        <v>61</v>
      </c>
      <c r="B134" s="38"/>
      <c r="C134" s="39"/>
      <c r="D134" s="40">
        <v>1111746834</v>
      </c>
      <c r="E134" s="41" t="s">
        <v>465</v>
      </c>
      <c r="F134" s="41" t="s">
        <v>466</v>
      </c>
    </row>
    <row r="135" spans="1:6" ht="15.75" x14ac:dyDescent="0.25">
      <c r="A135" s="38" t="s">
        <v>61</v>
      </c>
      <c r="B135" s="38"/>
      <c r="C135" s="39"/>
      <c r="D135" s="40">
        <v>2757598725</v>
      </c>
      <c r="E135" s="41" t="s">
        <v>463</v>
      </c>
      <c r="F135" s="41" t="s">
        <v>464</v>
      </c>
    </row>
    <row r="136" spans="1:6" ht="15.75" x14ac:dyDescent="0.25">
      <c r="A136" s="38" t="s">
        <v>61</v>
      </c>
      <c r="B136" s="38"/>
      <c r="C136" s="39"/>
      <c r="D136" s="40">
        <v>1975138893</v>
      </c>
      <c r="E136" s="41" t="s">
        <v>461</v>
      </c>
      <c r="F136" s="41" t="s">
        <v>462</v>
      </c>
    </row>
    <row r="137" spans="1:6" ht="15.75" x14ac:dyDescent="0.25">
      <c r="A137" s="38" t="s">
        <v>61</v>
      </c>
      <c r="B137" s="38"/>
      <c r="C137" s="39"/>
      <c r="D137" s="42">
        <v>1106701442</v>
      </c>
      <c r="E137" s="43" t="s">
        <v>62</v>
      </c>
      <c r="F137" s="43" t="s">
        <v>721</v>
      </c>
    </row>
    <row r="138" spans="1:6" ht="15.75" x14ac:dyDescent="0.25">
      <c r="A138" s="38" t="s">
        <v>61</v>
      </c>
      <c r="B138" s="38"/>
      <c r="C138" s="39"/>
      <c r="D138" s="42">
        <v>1113094818</v>
      </c>
      <c r="E138" s="43" t="s">
        <v>63</v>
      </c>
      <c r="F138" s="43" t="s">
        <v>395</v>
      </c>
    </row>
    <row r="139" spans="1:6" ht="15.75" x14ac:dyDescent="0.25">
      <c r="A139" s="38" t="s">
        <v>61</v>
      </c>
      <c r="B139" s="38"/>
      <c r="C139" s="39"/>
      <c r="D139" s="42">
        <v>1112273298</v>
      </c>
      <c r="E139" s="41" t="s">
        <v>971</v>
      </c>
      <c r="F139" s="41" t="s">
        <v>722</v>
      </c>
    </row>
    <row r="140" spans="1:6" ht="15.75" x14ac:dyDescent="0.25">
      <c r="A140" s="38" t="s">
        <v>61</v>
      </c>
      <c r="B140" s="38"/>
      <c r="C140" s="39"/>
      <c r="D140" s="42">
        <v>3170305714</v>
      </c>
      <c r="E140" s="41" t="s">
        <v>64</v>
      </c>
      <c r="F140" s="41" t="s">
        <v>394</v>
      </c>
    </row>
    <row r="141" spans="1:6" ht="15.75" x14ac:dyDescent="0.25">
      <c r="A141" s="38" t="s">
        <v>61</v>
      </c>
      <c r="B141" s="38"/>
      <c r="C141" s="39"/>
      <c r="D141" s="42">
        <v>1105376290</v>
      </c>
      <c r="E141" s="41" t="s">
        <v>65</v>
      </c>
      <c r="F141" s="41" t="s">
        <v>720</v>
      </c>
    </row>
    <row r="142" spans="1:6" ht="15.75" x14ac:dyDescent="0.25">
      <c r="A142" s="38" t="s">
        <v>61</v>
      </c>
      <c r="B142" s="38"/>
      <c r="C142" s="39"/>
      <c r="D142" s="42">
        <v>1105555826</v>
      </c>
      <c r="E142" s="41" t="s">
        <v>972</v>
      </c>
      <c r="F142" s="41" t="s">
        <v>406</v>
      </c>
    </row>
    <row r="143" spans="1:6" ht="15.75" x14ac:dyDescent="0.25">
      <c r="A143" s="38" t="s">
        <v>61</v>
      </c>
      <c r="B143" s="38"/>
      <c r="C143" s="39"/>
      <c r="D143" s="42">
        <v>1106713282</v>
      </c>
      <c r="E143" s="41" t="s">
        <v>66</v>
      </c>
      <c r="F143" s="41" t="s">
        <v>407</v>
      </c>
    </row>
    <row r="144" spans="1:6" ht="15.75" x14ac:dyDescent="0.25">
      <c r="A144" s="38" t="s">
        <v>61</v>
      </c>
      <c r="B144" s="38"/>
      <c r="C144" s="39"/>
      <c r="D144" s="42">
        <v>1106834066</v>
      </c>
      <c r="E144" s="41" t="s">
        <v>67</v>
      </c>
      <c r="F144" s="41" t="s">
        <v>398</v>
      </c>
    </row>
    <row r="145" spans="1:6" ht="15.75" x14ac:dyDescent="0.25">
      <c r="A145" s="53" t="s">
        <v>61</v>
      </c>
      <c r="B145" s="53"/>
      <c r="C145" s="54"/>
      <c r="D145" s="215">
        <v>1105422450</v>
      </c>
      <c r="E145" s="208" t="s">
        <v>68</v>
      </c>
      <c r="F145" s="208" t="s">
        <v>401</v>
      </c>
    </row>
    <row r="146" spans="1:6" ht="15.75" x14ac:dyDescent="0.25">
      <c r="A146" s="38" t="s">
        <v>61</v>
      </c>
      <c r="B146" s="38"/>
      <c r="C146" s="39"/>
      <c r="D146" s="42">
        <v>2390660458</v>
      </c>
      <c r="E146" s="41" t="s">
        <v>69</v>
      </c>
      <c r="F146" s="41" t="s">
        <v>393</v>
      </c>
    </row>
    <row r="147" spans="1:6" ht="15.75" x14ac:dyDescent="0.25">
      <c r="A147" s="38" t="s">
        <v>61</v>
      </c>
      <c r="B147" s="38"/>
      <c r="C147" s="39"/>
      <c r="D147" s="42">
        <v>2757595589</v>
      </c>
      <c r="E147" s="41" t="s">
        <v>70</v>
      </c>
      <c r="F147" s="41" t="s">
        <v>402</v>
      </c>
    </row>
    <row r="148" spans="1:6" ht="15.75" x14ac:dyDescent="0.25">
      <c r="A148" s="38" t="s">
        <v>61</v>
      </c>
      <c r="B148" s="38"/>
      <c r="C148" s="39"/>
      <c r="D148" s="42">
        <v>2068550019</v>
      </c>
      <c r="E148" s="41" t="s">
        <v>71</v>
      </c>
      <c r="F148" s="41" t="s">
        <v>397</v>
      </c>
    </row>
    <row r="149" spans="1:6" ht="15.75" x14ac:dyDescent="0.25">
      <c r="A149" s="38" t="s">
        <v>61</v>
      </c>
      <c r="B149" s="38"/>
      <c r="C149" s="39"/>
      <c r="D149" s="42">
        <v>2315060631</v>
      </c>
      <c r="E149" s="41" t="s">
        <v>72</v>
      </c>
      <c r="F149" s="41" t="s">
        <v>403</v>
      </c>
    </row>
    <row r="150" spans="1:6" ht="15.75" x14ac:dyDescent="0.25">
      <c r="A150" s="38" t="s">
        <v>61</v>
      </c>
      <c r="B150" s="38"/>
      <c r="C150" s="39"/>
      <c r="D150" s="42">
        <v>2315079446</v>
      </c>
      <c r="E150" s="41" t="s">
        <v>73</v>
      </c>
      <c r="F150" s="41" t="s">
        <v>399</v>
      </c>
    </row>
    <row r="151" spans="1:6" ht="15.75" x14ac:dyDescent="0.25">
      <c r="A151" s="38" t="s">
        <v>61</v>
      </c>
      <c r="B151" s="38"/>
      <c r="C151" s="39"/>
      <c r="D151" s="42">
        <v>2315088214</v>
      </c>
      <c r="E151" s="41" t="s">
        <v>74</v>
      </c>
      <c r="F151" s="41" t="s">
        <v>396</v>
      </c>
    </row>
    <row r="152" spans="1:6" ht="15.75" x14ac:dyDescent="0.25">
      <c r="A152" s="38" t="s">
        <v>61</v>
      </c>
      <c r="B152" s="38"/>
      <c r="C152" s="39"/>
      <c r="D152" s="42">
        <v>1112139362</v>
      </c>
      <c r="E152" s="41" t="s">
        <v>75</v>
      </c>
      <c r="F152" s="41" t="s">
        <v>405</v>
      </c>
    </row>
    <row r="153" spans="1:6" ht="15.75" x14ac:dyDescent="0.25">
      <c r="A153" s="38" t="s">
        <v>61</v>
      </c>
      <c r="B153" s="38"/>
      <c r="C153" s="39"/>
      <c r="D153" s="42">
        <v>1112933554</v>
      </c>
      <c r="E153" s="41" t="s">
        <v>76</v>
      </c>
      <c r="F153" s="41" t="s">
        <v>404</v>
      </c>
    </row>
    <row r="154" spans="1:6" ht="15.75" x14ac:dyDescent="0.25">
      <c r="A154" s="38" t="s">
        <v>61</v>
      </c>
      <c r="B154" s="38"/>
      <c r="C154" s="39"/>
      <c r="D154" s="42">
        <v>1105684290</v>
      </c>
      <c r="E154" s="43" t="s">
        <v>77</v>
      </c>
      <c r="F154" s="43" t="s">
        <v>400</v>
      </c>
    </row>
    <row r="155" spans="1:6" ht="15.75" x14ac:dyDescent="0.25">
      <c r="A155" s="38" t="s">
        <v>78</v>
      </c>
      <c r="B155" s="2"/>
      <c r="C155" s="1"/>
      <c r="D155" s="42"/>
      <c r="E155" s="41" t="s">
        <v>1024</v>
      </c>
      <c r="F155" s="41" t="s">
        <v>1025</v>
      </c>
    </row>
    <row r="156" spans="1:6" ht="15.75" x14ac:dyDescent="0.25">
      <c r="A156" s="38" t="s">
        <v>78</v>
      </c>
      <c r="B156" s="38"/>
      <c r="C156" s="39"/>
      <c r="D156" s="40">
        <v>2315105001</v>
      </c>
      <c r="E156" s="41" t="s">
        <v>475</v>
      </c>
      <c r="F156" s="41" t="s">
        <v>476</v>
      </c>
    </row>
    <row r="157" spans="1:6" ht="15.75" x14ac:dyDescent="0.25">
      <c r="A157" s="38" t="s">
        <v>78</v>
      </c>
      <c r="B157" s="38"/>
      <c r="C157" s="39"/>
      <c r="D157" s="40">
        <v>1105754690</v>
      </c>
      <c r="E157" s="41" t="s">
        <v>973</v>
      </c>
      <c r="F157" s="41" t="s">
        <v>377</v>
      </c>
    </row>
    <row r="158" spans="1:6" ht="15.75" x14ac:dyDescent="0.25">
      <c r="A158" s="38" t="s">
        <v>78</v>
      </c>
      <c r="B158" s="38"/>
      <c r="C158" s="39"/>
      <c r="D158" s="40">
        <v>1106836290</v>
      </c>
      <c r="E158" s="41" t="s">
        <v>974</v>
      </c>
      <c r="F158" s="41" t="s">
        <v>378</v>
      </c>
    </row>
    <row r="159" spans="1:6" ht="15.75" x14ac:dyDescent="0.25">
      <c r="A159" s="38" t="s">
        <v>78</v>
      </c>
      <c r="B159" s="38"/>
      <c r="C159" s="39"/>
      <c r="D159" s="40">
        <v>1105377794</v>
      </c>
      <c r="E159" s="38" t="s">
        <v>79</v>
      </c>
      <c r="F159" s="38" t="s">
        <v>379</v>
      </c>
    </row>
    <row r="160" spans="1:6" ht="15.75" x14ac:dyDescent="0.25">
      <c r="A160" s="38" t="s">
        <v>78</v>
      </c>
      <c r="B160" s="38"/>
      <c r="C160" s="39"/>
      <c r="D160" s="40">
        <v>1106196386</v>
      </c>
      <c r="E160" s="41" t="s">
        <v>80</v>
      </c>
      <c r="F160" s="41" t="s">
        <v>380</v>
      </c>
    </row>
    <row r="161" spans="1:6" ht="15.75" x14ac:dyDescent="0.25">
      <c r="A161" s="38" t="s">
        <v>78</v>
      </c>
      <c r="B161" s="38"/>
      <c r="C161" s="39"/>
      <c r="D161" s="40">
        <v>3170307698</v>
      </c>
      <c r="E161" s="41" t="s">
        <v>81</v>
      </c>
      <c r="F161" s="41" t="s">
        <v>381</v>
      </c>
    </row>
    <row r="162" spans="1:6" ht="15.75" x14ac:dyDescent="0.25">
      <c r="A162" s="38" t="s">
        <v>78</v>
      </c>
      <c r="B162" s="38"/>
      <c r="C162" s="39"/>
      <c r="D162" s="40">
        <v>1105786034</v>
      </c>
      <c r="E162" s="41" t="s">
        <v>82</v>
      </c>
      <c r="F162" s="41" t="s">
        <v>382</v>
      </c>
    </row>
    <row r="163" spans="1:6" ht="15.75" x14ac:dyDescent="0.25">
      <c r="A163" s="38" t="s">
        <v>78</v>
      </c>
      <c r="B163" s="38"/>
      <c r="C163" s="39"/>
      <c r="D163" s="40">
        <v>2315088448</v>
      </c>
      <c r="E163" s="38" t="s">
        <v>83</v>
      </c>
      <c r="F163" s="38" t="s">
        <v>383</v>
      </c>
    </row>
    <row r="164" spans="1:6" ht="15.75" x14ac:dyDescent="0.25">
      <c r="A164" s="38" t="s">
        <v>78</v>
      </c>
      <c r="B164" s="38"/>
      <c r="C164" s="39"/>
      <c r="D164" s="40">
        <v>1105576178</v>
      </c>
      <c r="E164" s="41" t="s">
        <v>84</v>
      </c>
      <c r="F164" s="41" t="s">
        <v>384</v>
      </c>
    </row>
    <row r="165" spans="1:6" ht="15.75" x14ac:dyDescent="0.25">
      <c r="A165" s="38" t="s">
        <v>232</v>
      </c>
      <c r="B165" s="2"/>
      <c r="C165" s="1"/>
      <c r="D165" s="42">
        <v>1318954534</v>
      </c>
      <c r="E165" s="41" t="s">
        <v>1020</v>
      </c>
      <c r="F165" s="41" t="s">
        <v>1021</v>
      </c>
    </row>
    <row r="166" spans="1:6" ht="15.75" x14ac:dyDescent="0.25">
      <c r="A166" s="38" t="s">
        <v>232</v>
      </c>
      <c r="B166" s="2"/>
      <c r="C166" s="1"/>
      <c r="D166" s="42">
        <v>3819602909</v>
      </c>
      <c r="E166" s="41" t="s">
        <v>1004</v>
      </c>
      <c r="F166" s="41" t="s">
        <v>1005</v>
      </c>
    </row>
    <row r="167" spans="1:6" ht="15.75" x14ac:dyDescent="0.25">
      <c r="A167" s="38" t="s">
        <v>579</v>
      </c>
      <c r="B167" s="38"/>
      <c r="C167" s="39"/>
      <c r="D167" s="40">
        <v>2297865322</v>
      </c>
      <c r="E167" s="38" t="s">
        <v>582</v>
      </c>
      <c r="F167" s="41" t="s">
        <v>583</v>
      </c>
    </row>
    <row r="168" spans="1:6" ht="15.75" x14ac:dyDescent="0.25">
      <c r="A168" s="38" t="s">
        <v>579</v>
      </c>
      <c r="B168" s="38"/>
      <c r="C168" s="39"/>
      <c r="D168" s="40">
        <v>2297905850</v>
      </c>
      <c r="E168" s="38" t="s">
        <v>580</v>
      </c>
      <c r="F168" s="41" t="s">
        <v>581</v>
      </c>
    </row>
    <row r="169" spans="1:6" ht="15.75" x14ac:dyDescent="0.25">
      <c r="A169" s="38" t="s">
        <v>586</v>
      </c>
      <c r="B169" s="38"/>
      <c r="C169" s="39"/>
      <c r="D169" s="40">
        <v>2297678890</v>
      </c>
      <c r="E169" s="38" t="s">
        <v>589</v>
      </c>
      <c r="F169" s="41" t="s">
        <v>590</v>
      </c>
    </row>
    <row r="170" spans="1:6" ht="15.75" x14ac:dyDescent="0.25">
      <c r="A170" s="38" t="s">
        <v>586</v>
      </c>
      <c r="B170" s="38"/>
      <c r="C170" s="39"/>
      <c r="D170" s="40">
        <v>2068484812</v>
      </c>
      <c r="E170" s="38" t="s">
        <v>587</v>
      </c>
      <c r="F170" s="41" t="s">
        <v>588</v>
      </c>
    </row>
    <row r="171" spans="1:6" ht="15.75" x14ac:dyDescent="0.25">
      <c r="A171" s="38" t="s">
        <v>557</v>
      </c>
      <c r="B171" s="38"/>
      <c r="C171" s="39"/>
      <c r="D171" s="40">
        <v>3241455005</v>
      </c>
      <c r="E171" s="38" t="s">
        <v>562</v>
      </c>
      <c r="F171" s="41" t="s">
        <v>563</v>
      </c>
    </row>
    <row r="172" spans="1:6" ht="15.75" x14ac:dyDescent="0.25">
      <c r="A172" s="38" t="s">
        <v>557</v>
      </c>
      <c r="B172" s="38"/>
      <c r="C172" s="39"/>
      <c r="D172" s="40">
        <v>1549254733</v>
      </c>
      <c r="E172" s="38" t="s">
        <v>560</v>
      </c>
      <c r="F172" s="41" t="s">
        <v>561</v>
      </c>
    </row>
    <row r="173" spans="1:6" ht="15.75" x14ac:dyDescent="0.25">
      <c r="A173" s="38" t="s">
        <v>557</v>
      </c>
      <c r="B173" s="38"/>
      <c r="C173" s="39"/>
      <c r="D173" s="40">
        <v>3245377261</v>
      </c>
      <c r="E173" s="38" t="s">
        <v>558</v>
      </c>
      <c r="F173" s="41" t="s">
        <v>559</v>
      </c>
    </row>
    <row r="174" spans="1:6" ht="15.75" x14ac:dyDescent="0.25">
      <c r="A174" s="38" t="s">
        <v>1017</v>
      </c>
      <c r="B174" s="2"/>
      <c r="C174" s="1"/>
      <c r="D174" s="42"/>
      <c r="E174" s="41" t="s">
        <v>1041</v>
      </c>
      <c r="F174" s="41" t="s">
        <v>1016</v>
      </c>
    </row>
    <row r="175" spans="1:6" ht="15.75" x14ac:dyDescent="0.25">
      <c r="A175" s="38" t="s">
        <v>1017</v>
      </c>
      <c r="B175" s="2"/>
      <c r="C175" s="1"/>
      <c r="D175" s="42"/>
      <c r="E175" s="41" t="s">
        <v>1034</v>
      </c>
      <c r="F175" s="41" t="s">
        <v>1035</v>
      </c>
    </row>
    <row r="176" spans="1:6" ht="15.75" x14ac:dyDescent="0.25">
      <c r="A176" s="38" t="s">
        <v>1017</v>
      </c>
      <c r="B176" s="2"/>
      <c r="C176" s="1"/>
      <c r="D176" s="42"/>
      <c r="E176" s="41" t="s">
        <v>1032</v>
      </c>
      <c r="F176" s="41" t="s">
        <v>1033</v>
      </c>
    </row>
    <row r="177" spans="1:6" ht="15.75" x14ac:dyDescent="0.25">
      <c r="A177" s="38" t="s">
        <v>1029</v>
      </c>
      <c r="B177" s="2"/>
      <c r="C177" s="1"/>
      <c r="D177" s="42"/>
      <c r="E177" s="41" t="s">
        <v>1031</v>
      </c>
      <c r="F177" s="41" t="s">
        <v>1030</v>
      </c>
    </row>
    <row r="178" spans="1:6" ht="15.75" x14ac:dyDescent="0.25">
      <c r="A178" s="38" t="s">
        <v>93</v>
      </c>
      <c r="B178" s="38"/>
      <c r="C178" s="39"/>
      <c r="D178" s="40">
        <v>1112654354</v>
      </c>
      <c r="E178" s="41" t="s">
        <v>460</v>
      </c>
      <c r="F178" s="41" t="s">
        <v>459</v>
      </c>
    </row>
    <row r="179" spans="1:6" ht="15.75" x14ac:dyDescent="0.25">
      <c r="A179" s="38" t="s">
        <v>93</v>
      </c>
      <c r="B179" s="38"/>
      <c r="C179" s="39"/>
      <c r="D179" s="40">
        <v>1113081938</v>
      </c>
      <c r="E179" s="41" t="s">
        <v>457</v>
      </c>
      <c r="F179" s="41" t="s">
        <v>458</v>
      </c>
    </row>
    <row r="180" spans="1:6" ht="15.75" x14ac:dyDescent="0.25">
      <c r="A180" s="38" t="s">
        <v>93</v>
      </c>
      <c r="B180" s="38"/>
      <c r="C180" s="39"/>
      <c r="D180" s="40">
        <v>2315058670</v>
      </c>
      <c r="E180" s="41" t="s">
        <v>455</v>
      </c>
      <c r="F180" s="41" t="s">
        <v>456</v>
      </c>
    </row>
    <row r="181" spans="1:6" ht="15.75" x14ac:dyDescent="0.25">
      <c r="A181" s="38" t="s">
        <v>93</v>
      </c>
      <c r="B181" s="38"/>
      <c r="C181" s="39"/>
      <c r="D181" s="40">
        <v>1106235170</v>
      </c>
      <c r="E181" s="41" t="s">
        <v>453</v>
      </c>
      <c r="F181" s="41" t="s">
        <v>454</v>
      </c>
    </row>
    <row r="182" spans="1:6" ht="15.75" x14ac:dyDescent="0.25">
      <c r="A182" s="38" t="s">
        <v>93</v>
      </c>
      <c r="B182" s="38"/>
      <c r="C182" s="39"/>
      <c r="D182" s="40">
        <v>2068467834</v>
      </c>
      <c r="E182" s="41" t="s">
        <v>451</v>
      </c>
      <c r="F182" s="41" t="s">
        <v>452</v>
      </c>
    </row>
    <row r="183" spans="1:6" ht="15.75" x14ac:dyDescent="0.25">
      <c r="A183" s="38" t="s">
        <v>93</v>
      </c>
      <c r="B183" s="38"/>
      <c r="C183" s="39"/>
      <c r="D183" s="40">
        <v>2068548805</v>
      </c>
      <c r="E183" s="41" t="s">
        <v>449</v>
      </c>
      <c r="F183" s="41" t="s">
        <v>450</v>
      </c>
    </row>
    <row r="184" spans="1:6" ht="15.75" x14ac:dyDescent="0.25">
      <c r="A184" s="38" t="s">
        <v>93</v>
      </c>
      <c r="B184" s="38"/>
      <c r="C184" s="39"/>
      <c r="D184" s="40">
        <v>1112620594</v>
      </c>
      <c r="E184" s="41" t="s">
        <v>447</v>
      </c>
      <c r="F184" s="41" t="s">
        <v>448</v>
      </c>
    </row>
    <row r="185" spans="1:6" ht="15.75" x14ac:dyDescent="0.25">
      <c r="A185" s="38" t="s">
        <v>93</v>
      </c>
      <c r="B185" s="38"/>
      <c r="C185" s="39"/>
      <c r="D185" s="40">
        <v>2315052666</v>
      </c>
      <c r="E185" s="41" t="s">
        <v>445</v>
      </c>
      <c r="F185" s="41" t="s">
        <v>446</v>
      </c>
    </row>
    <row r="186" spans="1:6" ht="15.75" x14ac:dyDescent="0.25">
      <c r="A186" s="38" t="s">
        <v>93</v>
      </c>
      <c r="B186" s="38"/>
      <c r="C186" s="39"/>
      <c r="D186" s="40">
        <v>2068502275</v>
      </c>
      <c r="E186" s="41" t="s">
        <v>724</v>
      </c>
      <c r="F186" s="41" t="s">
        <v>444</v>
      </c>
    </row>
    <row r="187" spans="1:6" ht="15.75" x14ac:dyDescent="0.25">
      <c r="A187" s="38" t="s">
        <v>93</v>
      </c>
      <c r="B187" s="38"/>
      <c r="C187" s="39"/>
      <c r="D187" s="40">
        <v>1106727314</v>
      </c>
      <c r="E187" s="41" t="s">
        <v>411</v>
      </c>
      <c r="F187" s="41" t="s">
        <v>412</v>
      </c>
    </row>
    <row r="188" spans="1:6" ht="15.75" x14ac:dyDescent="0.25">
      <c r="A188" s="38" t="s">
        <v>93</v>
      </c>
      <c r="B188" s="38"/>
      <c r="C188" s="39"/>
      <c r="D188" s="40">
        <v>1975190438</v>
      </c>
      <c r="E188" s="41" t="s">
        <v>992</v>
      </c>
      <c r="F188" s="41" t="s">
        <v>410</v>
      </c>
    </row>
    <row r="189" spans="1:6" ht="15.75" x14ac:dyDescent="0.25">
      <c r="A189" s="38" t="s">
        <v>93</v>
      </c>
      <c r="B189" s="38"/>
      <c r="C189" s="39"/>
      <c r="D189" s="40">
        <v>2068541586</v>
      </c>
      <c r="E189" s="41" t="s">
        <v>94</v>
      </c>
      <c r="F189" s="41" t="s">
        <v>409</v>
      </c>
    </row>
    <row r="190" spans="1:6" ht="15.75" x14ac:dyDescent="0.25">
      <c r="A190" s="38" t="s">
        <v>93</v>
      </c>
      <c r="B190" s="38"/>
      <c r="C190" s="39"/>
      <c r="D190" s="40">
        <v>1140855244</v>
      </c>
      <c r="E190" s="41" t="s">
        <v>848</v>
      </c>
      <c r="F190" s="41" t="s">
        <v>408</v>
      </c>
    </row>
    <row r="191" spans="1:6" ht="15.75" x14ac:dyDescent="0.25">
      <c r="A191" s="51" t="s">
        <v>127</v>
      </c>
      <c r="B191" s="51"/>
      <c r="C191" s="39"/>
      <c r="D191" s="40">
        <v>3240675405</v>
      </c>
      <c r="E191" s="38" t="s">
        <v>128</v>
      </c>
      <c r="F191" s="38" t="s">
        <v>494</v>
      </c>
    </row>
    <row r="192" spans="1:6" ht="15.75" x14ac:dyDescent="0.25">
      <c r="A192" s="51" t="s">
        <v>127</v>
      </c>
      <c r="B192" s="51"/>
      <c r="C192" s="39"/>
      <c r="D192" s="40">
        <v>1617368861</v>
      </c>
      <c r="E192" s="38" t="s">
        <v>129</v>
      </c>
      <c r="F192" s="38" t="s">
        <v>495</v>
      </c>
    </row>
    <row r="193" spans="1:6" ht="15.75" x14ac:dyDescent="0.25">
      <c r="A193" s="51" t="s">
        <v>127</v>
      </c>
      <c r="B193" s="51"/>
      <c r="C193" s="39"/>
      <c r="D193" s="40">
        <v>1106705282</v>
      </c>
      <c r="E193" s="38" t="s">
        <v>130</v>
      </c>
      <c r="F193" s="38" t="s">
        <v>496</v>
      </c>
    </row>
    <row r="194" spans="1:6" ht="15.75" x14ac:dyDescent="0.25">
      <c r="A194" s="51" t="s">
        <v>127</v>
      </c>
      <c r="B194" s="51"/>
      <c r="C194" s="39"/>
      <c r="D194" s="40">
        <v>2068516217</v>
      </c>
      <c r="E194" s="38" t="s">
        <v>131</v>
      </c>
      <c r="F194" s="38" t="s">
        <v>497</v>
      </c>
    </row>
    <row r="195" spans="1:6" ht="15.75" x14ac:dyDescent="0.25">
      <c r="A195" s="51" t="s">
        <v>127</v>
      </c>
      <c r="B195" s="51"/>
      <c r="C195" s="39"/>
      <c r="D195" s="40">
        <v>1112340786</v>
      </c>
      <c r="E195" s="38" t="s">
        <v>132</v>
      </c>
      <c r="F195" s="38" t="s">
        <v>498</v>
      </c>
    </row>
    <row r="196" spans="1:6" ht="15.75" x14ac:dyDescent="0.25">
      <c r="A196" s="51" t="s">
        <v>127</v>
      </c>
      <c r="B196" s="51"/>
      <c r="C196" s="39"/>
      <c r="D196" s="40">
        <v>3170775058</v>
      </c>
      <c r="E196" s="38" t="s">
        <v>133</v>
      </c>
      <c r="F196" s="38" t="s">
        <v>499</v>
      </c>
    </row>
    <row r="197" spans="1:6" ht="15.75" x14ac:dyDescent="0.25">
      <c r="A197" s="51" t="s">
        <v>127</v>
      </c>
      <c r="B197" s="51"/>
      <c r="C197" s="39"/>
      <c r="D197" s="40">
        <v>1105417170</v>
      </c>
      <c r="E197" s="38" t="s">
        <v>134</v>
      </c>
      <c r="F197" s="38" t="s">
        <v>500</v>
      </c>
    </row>
    <row r="198" spans="1:6" ht="15.75" x14ac:dyDescent="0.25">
      <c r="A198" s="51" t="s">
        <v>127</v>
      </c>
      <c r="B198" s="51"/>
      <c r="C198" s="39"/>
      <c r="D198" s="40">
        <v>2315066163</v>
      </c>
      <c r="E198" s="38" t="s">
        <v>135</v>
      </c>
      <c r="F198" s="38" t="s">
        <v>501</v>
      </c>
    </row>
    <row r="199" spans="1:6" ht="15.75" x14ac:dyDescent="0.25">
      <c r="A199" s="51" t="s">
        <v>127</v>
      </c>
      <c r="B199" s="51"/>
      <c r="C199" s="39"/>
      <c r="D199" s="40">
        <v>2068548919</v>
      </c>
      <c r="E199" s="38" t="s">
        <v>136</v>
      </c>
      <c r="F199" s="38" t="s">
        <v>502</v>
      </c>
    </row>
    <row r="200" spans="1:6" ht="15.75" x14ac:dyDescent="0.25">
      <c r="A200" s="51" t="s">
        <v>127</v>
      </c>
      <c r="B200" s="51"/>
      <c r="C200" s="39"/>
      <c r="D200" s="40">
        <v>2068475222</v>
      </c>
      <c r="E200" s="38" t="s">
        <v>137</v>
      </c>
      <c r="F200" s="38" t="s">
        <v>503</v>
      </c>
    </row>
    <row r="201" spans="1:6" ht="15.75" x14ac:dyDescent="0.25">
      <c r="A201" s="51" t="s">
        <v>127</v>
      </c>
      <c r="B201" s="51"/>
      <c r="C201" s="39"/>
      <c r="D201" s="40">
        <v>3169479554</v>
      </c>
      <c r="E201" s="38" t="s">
        <v>975</v>
      </c>
      <c r="F201" s="38" t="s">
        <v>665</v>
      </c>
    </row>
    <row r="202" spans="1:6" ht="15.75" x14ac:dyDescent="0.25">
      <c r="A202" s="51" t="s">
        <v>127</v>
      </c>
      <c r="B202" s="51"/>
      <c r="C202" s="39"/>
      <c r="D202" s="40">
        <v>3169990114</v>
      </c>
      <c r="E202" s="38" t="s">
        <v>138</v>
      </c>
      <c r="F202" s="38" t="s">
        <v>666</v>
      </c>
    </row>
    <row r="203" spans="1:6" ht="15.75" x14ac:dyDescent="0.25">
      <c r="A203" s="51" t="s">
        <v>102</v>
      </c>
      <c r="B203" s="51"/>
      <c r="C203" s="39"/>
      <c r="D203" s="40">
        <v>2315098008</v>
      </c>
      <c r="E203" s="41" t="s">
        <v>976</v>
      </c>
      <c r="F203" s="41" t="s">
        <v>413</v>
      </c>
    </row>
    <row r="204" spans="1:6" ht="15.75" x14ac:dyDescent="0.25">
      <c r="A204" s="50" t="s">
        <v>596</v>
      </c>
      <c r="B204" s="2"/>
      <c r="C204" s="1"/>
      <c r="D204" s="40">
        <v>2757596135</v>
      </c>
      <c r="E204" s="38" t="s">
        <v>597</v>
      </c>
      <c r="F204" s="41" t="s">
        <v>598</v>
      </c>
    </row>
    <row r="205" spans="1:6" ht="15.75" x14ac:dyDescent="0.25">
      <c r="A205" s="38" t="s">
        <v>596</v>
      </c>
      <c r="B205" s="38"/>
      <c r="C205" s="39"/>
      <c r="D205" s="40">
        <v>1105803730</v>
      </c>
      <c r="E205" s="38" t="s">
        <v>600</v>
      </c>
      <c r="F205" s="41" t="s">
        <v>599</v>
      </c>
    </row>
    <row r="206" spans="1:6" ht="15.75" x14ac:dyDescent="0.25">
      <c r="A206" s="38" t="s">
        <v>596</v>
      </c>
      <c r="B206" s="38"/>
      <c r="C206" s="39"/>
      <c r="D206" s="40">
        <v>2757596135</v>
      </c>
      <c r="E206" s="38" t="s">
        <v>597</v>
      </c>
      <c r="F206" s="41" t="s">
        <v>598</v>
      </c>
    </row>
    <row r="207" spans="1:6" ht="15.75" x14ac:dyDescent="0.25">
      <c r="A207" s="50" t="s">
        <v>226</v>
      </c>
      <c r="B207" s="2"/>
      <c r="C207" s="1"/>
      <c r="D207" s="40">
        <v>2068492949</v>
      </c>
      <c r="E207" s="38" t="s">
        <v>988</v>
      </c>
      <c r="F207" s="41" t="s">
        <v>989</v>
      </c>
    </row>
    <row r="208" spans="1:6" ht="15.75" x14ac:dyDescent="0.25">
      <c r="A208" s="38" t="s">
        <v>617</v>
      </c>
      <c r="B208" s="38"/>
      <c r="C208" s="39"/>
      <c r="D208" s="40">
        <v>1140861796</v>
      </c>
      <c r="E208" s="38" t="s">
        <v>634</v>
      </c>
      <c r="F208" s="41" t="s">
        <v>635</v>
      </c>
    </row>
    <row r="209" spans="1:6" ht="15.75" x14ac:dyDescent="0.25">
      <c r="A209" s="38" t="s">
        <v>617</v>
      </c>
      <c r="B209" s="38"/>
      <c r="C209" s="39"/>
      <c r="D209" s="40">
        <v>3238959037</v>
      </c>
      <c r="E209" s="38" t="s">
        <v>632</v>
      </c>
      <c r="F209" s="41" t="s">
        <v>633</v>
      </c>
    </row>
    <row r="210" spans="1:6" ht="15.75" x14ac:dyDescent="0.25">
      <c r="A210" s="38" t="s">
        <v>617</v>
      </c>
      <c r="B210" s="38"/>
      <c r="C210" s="39"/>
      <c r="D210" s="40">
        <v>1106127154</v>
      </c>
      <c r="E210" s="38" t="s">
        <v>630</v>
      </c>
      <c r="F210" s="41" t="s">
        <v>631</v>
      </c>
    </row>
    <row r="211" spans="1:6" ht="15.75" x14ac:dyDescent="0.25">
      <c r="A211" s="38" t="s">
        <v>617</v>
      </c>
      <c r="B211" s="38"/>
      <c r="C211" s="39"/>
      <c r="D211" s="40">
        <v>500501553</v>
      </c>
      <c r="E211" s="38" t="s">
        <v>628</v>
      </c>
      <c r="F211" s="41" t="s">
        <v>629</v>
      </c>
    </row>
    <row r="212" spans="1:6" ht="15.75" x14ac:dyDescent="0.25">
      <c r="A212" s="38" t="s">
        <v>617</v>
      </c>
      <c r="B212" s="38"/>
      <c r="C212" s="39"/>
      <c r="D212" s="40">
        <v>3241091501</v>
      </c>
      <c r="E212" s="38" t="s">
        <v>626</v>
      </c>
      <c r="F212" s="41" t="s">
        <v>627</v>
      </c>
    </row>
    <row r="213" spans="1:6" ht="15.75" x14ac:dyDescent="0.25">
      <c r="A213" s="38" t="s">
        <v>617</v>
      </c>
      <c r="B213" s="38"/>
      <c r="C213" s="39"/>
      <c r="D213" s="40">
        <v>1105633810</v>
      </c>
      <c r="E213" s="38" t="s">
        <v>624</v>
      </c>
      <c r="F213" s="41" t="s">
        <v>625</v>
      </c>
    </row>
    <row r="214" spans="1:6" ht="15.75" x14ac:dyDescent="0.25">
      <c r="A214" s="38" t="s">
        <v>617</v>
      </c>
      <c r="B214" s="38"/>
      <c r="C214" s="39"/>
      <c r="D214" s="40">
        <v>494859921</v>
      </c>
      <c r="E214" s="38" t="s">
        <v>622</v>
      </c>
      <c r="F214" s="41" t="s">
        <v>623</v>
      </c>
    </row>
    <row r="215" spans="1:6" ht="15.75" x14ac:dyDescent="0.25">
      <c r="A215" s="38" t="s">
        <v>617</v>
      </c>
      <c r="B215" s="38"/>
      <c r="C215" s="39"/>
      <c r="D215" s="40">
        <v>507743569</v>
      </c>
      <c r="E215" s="38" t="s">
        <v>620</v>
      </c>
      <c r="F215" s="41" t="s">
        <v>621</v>
      </c>
    </row>
    <row r="216" spans="1:6" ht="15.75" x14ac:dyDescent="0.25">
      <c r="A216" s="38" t="s">
        <v>617</v>
      </c>
      <c r="B216" s="38"/>
      <c r="C216" s="39"/>
      <c r="D216" s="40">
        <v>3239031741</v>
      </c>
      <c r="E216" s="38" t="s">
        <v>618</v>
      </c>
      <c r="F216" s="41" t="s">
        <v>619</v>
      </c>
    </row>
    <row r="217" spans="1:6" ht="15.75" x14ac:dyDescent="0.25">
      <c r="A217" s="38" t="s">
        <v>356</v>
      </c>
      <c r="B217" s="38"/>
      <c r="C217" s="39"/>
      <c r="D217" s="40">
        <v>3169990002</v>
      </c>
      <c r="E217" s="38" t="s">
        <v>584</v>
      </c>
      <c r="F217" s="41" t="s">
        <v>585</v>
      </c>
    </row>
    <row r="218" spans="1:6" ht="15.75" x14ac:dyDescent="0.25">
      <c r="A218" s="38" t="s">
        <v>356</v>
      </c>
      <c r="B218" s="38"/>
      <c r="C218" s="39"/>
      <c r="D218" s="40">
        <v>3169813090</v>
      </c>
      <c r="E218" s="41" t="s">
        <v>357</v>
      </c>
      <c r="F218" s="41" t="s">
        <v>358</v>
      </c>
    </row>
    <row r="219" spans="1:6" ht="15.75" x14ac:dyDescent="0.25">
      <c r="A219" s="38" t="s">
        <v>601</v>
      </c>
      <c r="B219" s="2"/>
      <c r="C219" s="1"/>
      <c r="D219" s="42"/>
      <c r="E219" s="41" t="s">
        <v>1036</v>
      </c>
      <c r="F219" s="41" t="s">
        <v>1037</v>
      </c>
    </row>
    <row r="220" spans="1:6" ht="15.75" x14ac:dyDescent="0.25">
      <c r="A220" s="38" t="s">
        <v>601</v>
      </c>
      <c r="B220" s="38"/>
      <c r="C220" s="39"/>
      <c r="D220" s="40">
        <v>1105578178</v>
      </c>
      <c r="E220" s="38" t="s">
        <v>615</v>
      </c>
      <c r="F220" s="41" t="s">
        <v>616</v>
      </c>
    </row>
    <row r="221" spans="1:6" ht="15.75" x14ac:dyDescent="0.25">
      <c r="A221" s="38" t="s">
        <v>601</v>
      </c>
      <c r="B221" s="38"/>
      <c r="C221" s="39"/>
      <c r="D221" s="40">
        <v>1113363858</v>
      </c>
      <c r="E221" s="38" t="s">
        <v>613</v>
      </c>
      <c r="F221" s="41" t="s">
        <v>614</v>
      </c>
    </row>
    <row r="222" spans="1:6" ht="15.75" x14ac:dyDescent="0.25">
      <c r="A222" s="38" t="s">
        <v>601</v>
      </c>
      <c r="B222" s="38"/>
      <c r="C222" s="39"/>
      <c r="D222" s="40">
        <v>1112082370</v>
      </c>
      <c r="E222" s="38" t="s">
        <v>611</v>
      </c>
      <c r="F222" s="41" t="s">
        <v>612</v>
      </c>
    </row>
    <row r="223" spans="1:6" ht="15.75" x14ac:dyDescent="0.25">
      <c r="A223" s="38" t="s">
        <v>601</v>
      </c>
      <c r="B223" s="38"/>
      <c r="C223" s="39"/>
      <c r="D223" s="40">
        <v>2757627681</v>
      </c>
      <c r="E223" s="38" t="s">
        <v>609</v>
      </c>
      <c r="F223" s="41" t="s">
        <v>610</v>
      </c>
    </row>
    <row r="224" spans="1:6" ht="15.75" x14ac:dyDescent="0.25">
      <c r="A224" s="38" t="s">
        <v>601</v>
      </c>
      <c r="B224" s="38"/>
      <c r="C224" s="39"/>
      <c r="D224" s="40">
        <v>2757630465</v>
      </c>
      <c r="E224" s="38" t="s">
        <v>607</v>
      </c>
      <c r="F224" s="41" t="s">
        <v>608</v>
      </c>
    </row>
    <row r="225" spans="1:6" ht="15.75" x14ac:dyDescent="0.25">
      <c r="A225" s="38" t="s">
        <v>601</v>
      </c>
      <c r="B225" s="38"/>
      <c r="C225" s="39"/>
      <c r="D225" s="40">
        <v>2068536820</v>
      </c>
      <c r="E225" s="38" t="s">
        <v>602</v>
      </c>
      <c r="F225" s="41" t="s">
        <v>603</v>
      </c>
    </row>
    <row r="226" spans="1:6" ht="15.75" x14ac:dyDescent="0.25">
      <c r="A226" s="38" t="s">
        <v>564</v>
      </c>
      <c r="B226" s="38"/>
      <c r="C226" s="39"/>
      <c r="D226" s="40">
        <v>1547843885</v>
      </c>
      <c r="E226" s="38" t="s">
        <v>571</v>
      </c>
      <c r="F226" s="41" t="s">
        <v>572</v>
      </c>
    </row>
    <row r="227" spans="1:6" ht="15.75" x14ac:dyDescent="0.25">
      <c r="A227" s="38" t="s">
        <v>564</v>
      </c>
      <c r="B227" s="38"/>
      <c r="C227" s="39"/>
      <c r="D227" s="40">
        <v>432281569</v>
      </c>
      <c r="E227" s="38" t="s">
        <v>569</v>
      </c>
      <c r="F227" s="41" t="s">
        <v>570</v>
      </c>
    </row>
    <row r="228" spans="1:6" ht="15.75" x14ac:dyDescent="0.25">
      <c r="A228" s="38" t="s">
        <v>564</v>
      </c>
      <c r="B228" s="38"/>
      <c r="C228" s="39"/>
      <c r="D228" s="40">
        <v>430556257</v>
      </c>
      <c r="E228" s="38" t="s">
        <v>567</v>
      </c>
      <c r="F228" s="41" t="s">
        <v>568</v>
      </c>
    </row>
    <row r="229" spans="1:6" ht="15.75" x14ac:dyDescent="0.25">
      <c r="A229" s="38" t="s">
        <v>564</v>
      </c>
      <c r="B229" s="38"/>
      <c r="C229" s="39"/>
      <c r="D229" s="40">
        <v>503643329</v>
      </c>
      <c r="E229" s="38" t="s">
        <v>565</v>
      </c>
      <c r="F229" s="41" t="s">
        <v>566</v>
      </c>
    </row>
    <row r="230" spans="1:6" ht="15.75" x14ac:dyDescent="0.25">
      <c r="A230" s="38" t="s">
        <v>636</v>
      </c>
      <c r="B230" s="38"/>
      <c r="C230" s="39"/>
      <c r="D230" s="40">
        <v>1111847378</v>
      </c>
      <c r="E230" s="38" t="s">
        <v>655</v>
      </c>
      <c r="F230" s="41" t="s">
        <v>656</v>
      </c>
    </row>
    <row r="231" spans="1:6" ht="15.75" x14ac:dyDescent="0.25">
      <c r="A231" s="38" t="s">
        <v>636</v>
      </c>
      <c r="B231" s="38"/>
      <c r="C231" s="39"/>
      <c r="D231" s="40">
        <v>2512073962</v>
      </c>
      <c r="E231" s="38" t="s">
        <v>653</v>
      </c>
      <c r="F231" s="41" t="s">
        <v>654</v>
      </c>
    </row>
    <row r="232" spans="1:6" ht="15.75" x14ac:dyDescent="0.25">
      <c r="A232" s="38" t="s">
        <v>636</v>
      </c>
      <c r="B232" s="38"/>
      <c r="C232" s="39"/>
      <c r="D232" s="40">
        <v>1105938370</v>
      </c>
      <c r="E232" s="38" t="s">
        <v>651</v>
      </c>
      <c r="F232" s="41" t="s">
        <v>652</v>
      </c>
    </row>
    <row r="233" spans="1:6" ht="15.75" x14ac:dyDescent="0.25">
      <c r="A233" s="38" t="s">
        <v>636</v>
      </c>
      <c r="B233" s="38"/>
      <c r="C233" s="39"/>
      <c r="D233" s="40">
        <v>1113219618</v>
      </c>
      <c r="E233" s="38" t="s">
        <v>649</v>
      </c>
      <c r="F233" s="41" t="s">
        <v>650</v>
      </c>
    </row>
    <row r="234" spans="1:6" ht="15.75" x14ac:dyDescent="0.25">
      <c r="A234" s="38" t="s">
        <v>636</v>
      </c>
      <c r="B234" s="38"/>
      <c r="C234" s="39"/>
      <c r="D234" s="40">
        <v>2757611987</v>
      </c>
      <c r="E234" s="38" t="s">
        <v>647</v>
      </c>
      <c r="F234" s="41" t="s">
        <v>648</v>
      </c>
    </row>
    <row r="235" spans="1:6" ht="15.75" x14ac:dyDescent="0.25">
      <c r="A235" s="38" t="s">
        <v>636</v>
      </c>
      <c r="B235" s="38"/>
      <c r="C235" s="39"/>
      <c r="D235" s="40">
        <v>2068532157</v>
      </c>
      <c r="E235" s="38" t="s">
        <v>645</v>
      </c>
      <c r="F235" s="41" t="s">
        <v>646</v>
      </c>
    </row>
    <row r="236" spans="1:6" ht="15.75" x14ac:dyDescent="0.25">
      <c r="A236" s="38" t="s">
        <v>636</v>
      </c>
      <c r="B236" s="38"/>
      <c r="C236" s="39"/>
      <c r="D236" s="40">
        <v>2068490017</v>
      </c>
      <c r="E236" s="38" t="s">
        <v>643</v>
      </c>
      <c r="F236" s="41" t="s">
        <v>644</v>
      </c>
    </row>
    <row r="237" spans="1:6" ht="15.75" x14ac:dyDescent="0.25">
      <c r="A237" s="38" t="s">
        <v>636</v>
      </c>
      <c r="B237" s="38"/>
      <c r="C237" s="39"/>
      <c r="D237" s="40">
        <v>1107095570</v>
      </c>
      <c r="E237" s="38" t="s">
        <v>641</v>
      </c>
      <c r="F237" s="41" t="s">
        <v>642</v>
      </c>
    </row>
    <row r="238" spans="1:6" ht="15.75" x14ac:dyDescent="0.25">
      <c r="A238" s="38" t="s">
        <v>636</v>
      </c>
      <c r="B238" s="38"/>
      <c r="C238" s="39"/>
      <c r="D238" s="40">
        <v>2068475468</v>
      </c>
      <c r="E238" s="38" t="s">
        <v>639</v>
      </c>
      <c r="F238" s="41" t="s">
        <v>640</v>
      </c>
    </row>
    <row r="239" spans="1:6" ht="15.75" x14ac:dyDescent="0.25">
      <c r="A239" s="38" t="s">
        <v>636</v>
      </c>
      <c r="B239" s="38"/>
      <c r="C239" s="39"/>
      <c r="D239" s="40">
        <v>1975213702</v>
      </c>
      <c r="E239" s="38" t="s">
        <v>637</v>
      </c>
      <c r="F239" s="41" t="s">
        <v>638</v>
      </c>
    </row>
    <row r="240" spans="1:6" ht="15.75" x14ac:dyDescent="0.25">
      <c r="A240" s="38" t="s">
        <v>91</v>
      </c>
      <c r="B240" s="38"/>
      <c r="C240" s="39"/>
      <c r="D240" s="40">
        <v>1140855501</v>
      </c>
      <c r="E240" s="41" t="s">
        <v>375</v>
      </c>
      <c r="F240" s="41" t="s">
        <v>376</v>
      </c>
    </row>
    <row r="241" spans="1:6" ht="15.75" x14ac:dyDescent="0.25">
      <c r="A241" s="38" t="s">
        <v>91</v>
      </c>
      <c r="B241" s="38"/>
      <c r="C241" s="39"/>
      <c r="D241" s="40">
        <v>2068491403</v>
      </c>
      <c r="E241" s="41" t="s">
        <v>373</v>
      </c>
      <c r="F241" s="41" t="s">
        <v>374</v>
      </c>
    </row>
    <row r="242" spans="1:6" ht="15.75" x14ac:dyDescent="0.25">
      <c r="A242" s="38" t="s">
        <v>91</v>
      </c>
      <c r="B242" s="38"/>
      <c r="C242" s="39"/>
      <c r="D242" s="40">
        <v>2297708202</v>
      </c>
      <c r="E242" s="41" t="s">
        <v>371</v>
      </c>
      <c r="F242" s="41" t="s">
        <v>372</v>
      </c>
    </row>
    <row r="243" spans="1:6" ht="15.75" x14ac:dyDescent="0.25">
      <c r="A243" s="38" t="s">
        <v>91</v>
      </c>
      <c r="B243" s="38"/>
      <c r="C243" s="39"/>
      <c r="D243" s="40">
        <v>1113478722</v>
      </c>
      <c r="E243" s="41" t="s">
        <v>369</v>
      </c>
      <c r="F243" s="41" t="s">
        <v>370</v>
      </c>
    </row>
    <row r="244" spans="1:6" ht="15.75" x14ac:dyDescent="0.25">
      <c r="A244" s="38" t="s">
        <v>91</v>
      </c>
      <c r="B244" s="38"/>
      <c r="C244" s="39"/>
      <c r="D244" s="40">
        <v>1105766594</v>
      </c>
      <c r="E244" s="41" t="s">
        <v>367</v>
      </c>
      <c r="F244" s="41" t="s">
        <v>368</v>
      </c>
    </row>
    <row r="245" spans="1:6" ht="15.75" x14ac:dyDescent="0.25">
      <c r="A245" s="38" t="s">
        <v>91</v>
      </c>
      <c r="B245" s="38"/>
      <c r="C245" s="39"/>
      <c r="D245" s="40">
        <v>2297823418</v>
      </c>
      <c r="E245" s="41" t="s">
        <v>862</v>
      </c>
      <c r="F245" s="41" t="s">
        <v>362</v>
      </c>
    </row>
    <row r="246" spans="1:6" ht="15.75" x14ac:dyDescent="0.25">
      <c r="A246" s="38" t="s">
        <v>91</v>
      </c>
      <c r="B246" s="38"/>
      <c r="C246" s="39"/>
      <c r="D246" s="40">
        <v>1975179997</v>
      </c>
      <c r="E246" s="41" t="s">
        <v>92</v>
      </c>
      <c r="F246" s="41" t="s">
        <v>363</v>
      </c>
    </row>
    <row r="247" spans="1:6" ht="15.75" x14ac:dyDescent="0.25">
      <c r="A247" s="38" t="s">
        <v>91</v>
      </c>
      <c r="B247" s="38"/>
      <c r="C247" s="39"/>
      <c r="D247" s="40">
        <v>2315093347</v>
      </c>
      <c r="E247" s="41" t="s">
        <v>991</v>
      </c>
      <c r="F247" s="41" t="s">
        <v>364</v>
      </c>
    </row>
    <row r="248" spans="1:6" ht="15.75" x14ac:dyDescent="0.25">
      <c r="A248" s="38" t="s">
        <v>91</v>
      </c>
      <c r="B248" s="38"/>
      <c r="C248" s="39"/>
      <c r="D248" s="40">
        <v>3171008450</v>
      </c>
      <c r="E248" s="41" t="s">
        <v>977</v>
      </c>
      <c r="F248" s="41" t="s">
        <v>365</v>
      </c>
    </row>
    <row r="249" spans="1:6" ht="15.75" x14ac:dyDescent="0.25">
      <c r="A249" s="38" t="s">
        <v>91</v>
      </c>
      <c r="B249" s="38"/>
      <c r="C249" s="39"/>
      <c r="D249" s="40">
        <v>3841981345</v>
      </c>
      <c r="E249" s="38" t="s">
        <v>978</v>
      </c>
      <c r="F249" s="38" t="s">
        <v>366</v>
      </c>
    </row>
    <row r="250" spans="1:6" ht="15.75" x14ac:dyDescent="0.25">
      <c r="A250" s="38" t="s">
        <v>573</v>
      </c>
      <c r="B250" s="38"/>
      <c r="C250" s="39"/>
      <c r="D250" s="40">
        <v>2067633277</v>
      </c>
      <c r="E250" s="38" t="s">
        <v>574</v>
      </c>
      <c r="F250" s="41" t="s">
        <v>575</v>
      </c>
    </row>
    <row r="251" spans="1:6" ht="15.75" x14ac:dyDescent="0.25">
      <c r="A251" s="38" t="s">
        <v>518</v>
      </c>
      <c r="B251" s="38"/>
      <c r="C251" s="39"/>
      <c r="D251" s="40">
        <v>2068534661</v>
      </c>
      <c r="E251" s="41" t="s">
        <v>525</v>
      </c>
      <c r="F251" s="41" t="s">
        <v>526</v>
      </c>
    </row>
    <row r="252" spans="1:6" ht="15.75" x14ac:dyDescent="0.25">
      <c r="A252" s="38" t="s">
        <v>518</v>
      </c>
      <c r="B252" s="38"/>
      <c r="C252" s="39"/>
      <c r="D252" s="40">
        <v>1105355746</v>
      </c>
      <c r="E252" s="41" t="s">
        <v>523</v>
      </c>
      <c r="F252" s="41" t="s">
        <v>524</v>
      </c>
    </row>
    <row r="253" spans="1:6" ht="15.75" x14ac:dyDescent="0.25">
      <c r="A253" s="38" t="s">
        <v>518</v>
      </c>
      <c r="B253" s="38"/>
      <c r="C253" s="39"/>
      <c r="D253" s="40">
        <v>1112818242</v>
      </c>
      <c r="E253" s="41" t="s">
        <v>521</v>
      </c>
      <c r="F253" s="41" t="s">
        <v>522</v>
      </c>
    </row>
    <row r="254" spans="1:6" ht="15.75" x14ac:dyDescent="0.25">
      <c r="A254" s="38" t="s">
        <v>518</v>
      </c>
      <c r="B254" s="38"/>
      <c r="C254" s="39"/>
      <c r="D254" s="40">
        <v>1105515218</v>
      </c>
      <c r="E254" s="41" t="s">
        <v>519</v>
      </c>
      <c r="F254" s="41" t="s">
        <v>520</v>
      </c>
    </row>
    <row r="255" spans="1:6" ht="15.75" x14ac:dyDescent="0.25">
      <c r="A255" s="38" t="s">
        <v>527</v>
      </c>
      <c r="B255" s="55"/>
      <c r="C255" s="39"/>
      <c r="D255" s="40">
        <v>1112833570</v>
      </c>
      <c r="E255" s="38" t="s">
        <v>532</v>
      </c>
      <c r="F255" s="41" t="s">
        <v>533</v>
      </c>
    </row>
    <row r="256" spans="1:6" ht="15.75" x14ac:dyDescent="0.25">
      <c r="A256" s="38" t="s">
        <v>527</v>
      </c>
      <c r="B256" s="38"/>
      <c r="C256" s="39"/>
      <c r="D256" s="40">
        <v>1112940898</v>
      </c>
      <c r="E256" s="41" t="s">
        <v>530</v>
      </c>
      <c r="F256" s="41" t="s">
        <v>531</v>
      </c>
    </row>
    <row r="257" spans="1:6" ht="15.75" x14ac:dyDescent="0.25">
      <c r="A257" s="38" t="s">
        <v>527</v>
      </c>
      <c r="B257" s="38"/>
      <c r="C257" s="39"/>
      <c r="D257" s="40">
        <v>2068481092</v>
      </c>
      <c r="E257" s="41" t="s">
        <v>528</v>
      </c>
      <c r="F257" s="41" t="s">
        <v>529</v>
      </c>
    </row>
    <row r="258" spans="1:6" ht="15.75" x14ac:dyDescent="0.25">
      <c r="A258" s="38" t="s">
        <v>576</v>
      </c>
      <c r="B258" s="38"/>
      <c r="C258" s="39"/>
      <c r="D258" s="40">
        <v>3169631330</v>
      </c>
      <c r="E258" s="38" t="s">
        <v>578</v>
      </c>
      <c r="F258" s="41" t="s">
        <v>577</v>
      </c>
    </row>
    <row r="259" spans="1:6" ht="15.75" x14ac:dyDescent="0.25">
      <c r="A259" s="38" t="s">
        <v>359</v>
      </c>
      <c r="B259" s="38"/>
      <c r="C259" s="39"/>
      <c r="D259" s="40">
        <v>1111742258</v>
      </c>
      <c r="E259" s="41" t="s">
        <v>360</v>
      </c>
      <c r="F259" s="41" t="s">
        <v>361</v>
      </c>
    </row>
    <row r="260" spans="1:6" ht="15.75" x14ac:dyDescent="0.25">
      <c r="A260" s="38" t="s">
        <v>604</v>
      </c>
      <c r="B260" s="38"/>
      <c r="C260" s="39"/>
      <c r="D260" s="40">
        <v>1106174434</v>
      </c>
      <c r="E260" s="38" t="s">
        <v>605</v>
      </c>
      <c r="F260" s="41" t="s">
        <v>606</v>
      </c>
    </row>
    <row r="261" spans="1:6" ht="15.75" x14ac:dyDescent="0.25">
      <c r="A261" s="50" t="s">
        <v>139</v>
      </c>
      <c r="B261" s="2"/>
      <c r="C261" s="1"/>
      <c r="D261" s="40"/>
      <c r="E261" s="38" t="s">
        <v>999</v>
      </c>
      <c r="F261" s="41" t="s">
        <v>1000</v>
      </c>
    </row>
    <row r="262" spans="1:6" ht="15.75" x14ac:dyDescent="0.25">
      <c r="A262" s="50" t="s">
        <v>139</v>
      </c>
      <c r="B262" s="2"/>
      <c r="C262" s="1"/>
      <c r="D262" s="40"/>
      <c r="E262" s="38" t="s">
        <v>997</v>
      </c>
      <c r="F262" s="41" t="s">
        <v>998</v>
      </c>
    </row>
    <row r="263" spans="1:6" ht="15.75" x14ac:dyDescent="0.25">
      <c r="A263" s="50" t="s">
        <v>139</v>
      </c>
      <c r="B263" s="2"/>
      <c r="C263" s="1"/>
      <c r="D263" s="40">
        <v>1528272621</v>
      </c>
      <c r="E263" s="38" t="s">
        <v>995</v>
      </c>
      <c r="F263" s="41" t="s">
        <v>996</v>
      </c>
    </row>
    <row r="264" spans="1:6" ht="15.75" x14ac:dyDescent="0.25">
      <c r="A264" s="38" t="s">
        <v>139</v>
      </c>
      <c r="B264" s="38"/>
      <c r="C264" s="39"/>
      <c r="D264" s="40">
        <v>2068479899</v>
      </c>
      <c r="E264" s="38" t="s">
        <v>140</v>
      </c>
      <c r="F264" s="38" t="s">
        <v>667</v>
      </c>
    </row>
    <row r="265" spans="1:6" ht="15.75" x14ac:dyDescent="0.25">
      <c r="A265" s="38" t="s">
        <v>139</v>
      </c>
      <c r="B265" s="38"/>
      <c r="C265" s="39"/>
      <c r="D265" s="40">
        <v>1112326338</v>
      </c>
      <c r="E265" s="38" t="s">
        <v>142</v>
      </c>
      <c r="F265" s="38" t="s">
        <v>669</v>
      </c>
    </row>
    <row r="266" spans="1:6" ht="15.75" x14ac:dyDescent="0.25">
      <c r="A266" s="38" t="s">
        <v>139</v>
      </c>
      <c r="B266" s="38"/>
      <c r="C266" s="39"/>
      <c r="D266" s="40">
        <v>1112324626</v>
      </c>
      <c r="E266" s="38" t="s">
        <v>143</v>
      </c>
      <c r="F266" s="38" t="s">
        <v>670</v>
      </c>
    </row>
    <row r="267" spans="1:6" ht="15.75" x14ac:dyDescent="0.25">
      <c r="A267" s="38" t="s">
        <v>139</v>
      </c>
      <c r="B267" s="38"/>
      <c r="C267" s="39"/>
      <c r="D267" s="40">
        <v>1140881955</v>
      </c>
      <c r="E267" s="38" t="s">
        <v>144</v>
      </c>
      <c r="F267" s="38" t="s">
        <v>671</v>
      </c>
    </row>
    <row r="268" spans="1:6" ht="15.75" x14ac:dyDescent="0.25">
      <c r="A268" s="38" t="s">
        <v>139</v>
      </c>
      <c r="B268" s="38"/>
      <c r="C268" s="39"/>
      <c r="D268" s="40">
        <v>2068468049</v>
      </c>
      <c r="E268" s="38" t="s">
        <v>145</v>
      </c>
      <c r="F268" s="38" t="s">
        <v>672</v>
      </c>
    </row>
    <row r="269" spans="1:6" ht="15.75" x14ac:dyDescent="0.25">
      <c r="A269" s="38" t="s">
        <v>139</v>
      </c>
      <c r="B269" s="38"/>
      <c r="C269" s="39"/>
      <c r="D269" s="40">
        <v>1112543362</v>
      </c>
      <c r="E269" s="38" t="s">
        <v>146</v>
      </c>
      <c r="F269" s="38" t="s">
        <v>673</v>
      </c>
    </row>
    <row r="270" spans="1:6" ht="15.75" x14ac:dyDescent="0.25">
      <c r="A270" s="38" t="s">
        <v>139</v>
      </c>
      <c r="B270" s="38"/>
      <c r="C270" s="39"/>
      <c r="D270" s="40">
        <v>1105620946</v>
      </c>
      <c r="E270" s="38" t="s">
        <v>147</v>
      </c>
      <c r="F270" s="38" t="s">
        <v>674</v>
      </c>
    </row>
    <row r="271" spans="1:6" ht="15.75" x14ac:dyDescent="0.25">
      <c r="A271" s="38" t="s">
        <v>139</v>
      </c>
      <c r="B271" s="38"/>
      <c r="C271" s="39"/>
      <c r="D271" s="40">
        <v>1113552546</v>
      </c>
      <c r="E271" s="38" t="s">
        <v>148</v>
      </c>
      <c r="F271" s="38" t="s">
        <v>675</v>
      </c>
    </row>
    <row r="272" spans="1:6" ht="15.75" x14ac:dyDescent="0.25">
      <c r="A272" s="38" t="s">
        <v>139</v>
      </c>
      <c r="B272" s="38"/>
      <c r="C272" s="39"/>
      <c r="D272" s="40">
        <v>1111866226</v>
      </c>
      <c r="E272" s="38" t="s">
        <v>150</v>
      </c>
      <c r="F272" s="38" t="s">
        <v>677</v>
      </c>
    </row>
    <row r="273" spans="1:6" ht="15.75" x14ac:dyDescent="0.25">
      <c r="A273" s="38" t="s">
        <v>742</v>
      </c>
      <c r="B273" s="38"/>
      <c r="C273" s="39"/>
      <c r="D273" s="40">
        <v>1113208626</v>
      </c>
      <c r="E273" s="38" t="s">
        <v>141</v>
      </c>
      <c r="F273" s="38" t="s">
        <v>668</v>
      </c>
    </row>
    <row r="274" spans="1:6" ht="15.75" x14ac:dyDescent="0.25">
      <c r="A274" s="38" t="s">
        <v>742</v>
      </c>
      <c r="B274" s="38"/>
      <c r="C274" s="39"/>
      <c r="D274" s="40">
        <v>1106855954</v>
      </c>
      <c r="E274" s="38" t="s">
        <v>149</v>
      </c>
      <c r="F274" s="38" t="s">
        <v>676</v>
      </c>
    </row>
    <row r="275" spans="1:6" ht="15.75" x14ac:dyDescent="0.25">
      <c r="A275" s="38" t="s">
        <v>504</v>
      </c>
      <c r="B275" s="38"/>
      <c r="C275" s="39"/>
      <c r="D275" s="40">
        <v>1106126130</v>
      </c>
      <c r="E275" s="41" t="s">
        <v>511</v>
      </c>
      <c r="F275" s="41" t="s">
        <v>512</v>
      </c>
    </row>
    <row r="276" spans="1:6" ht="15.75" x14ac:dyDescent="0.25">
      <c r="A276" s="38" t="s">
        <v>504</v>
      </c>
      <c r="B276" s="38"/>
      <c r="C276" s="39"/>
      <c r="D276" s="40">
        <v>1112476194</v>
      </c>
      <c r="E276" s="41" t="s">
        <v>509</v>
      </c>
      <c r="F276" s="41" t="s">
        <v>510</v>
      </c>
    </row>
    <row r="277" spans="1:6" ht="15.75" x14ac:dyDescent="0.25">
      <c r="A277" s="38" t="s">
        <v>504</v>
      </c>
      <c r="B277" s="38"/>
      <c r="C277" s="39"/>
      <c r="D277" s="40">
        <v>1111814818</v>
      </c>
      <c r="E277" s="41" t="s">
        <v>507</v>
      </c>
      <c r="F277" s="41" t="s">
        <v>508</v>
      </c>
    </row>
    <row r="278" spans="1:6" ht="15.75" x14ac:dyDescent="0.25">
      <c r="A278" s="38" t="s">
        <v>504</v>
      </c>
      <c r="B278" s="38"/>
      <c r="C278" s="39"/>
      <c r="D278" s="40">
        <v>1105486658</v>
      </c>
      <c r="E278" s="41" t="s">
        <v>505</v>
      </c>
      <c r="F278" s="41" t="s">
        <v>506</v>
      </c>
    </row>
    <row r="279" spans="1:6" ht="15.75" x14ac:dyDescent="0.25">
      <c r="A279" s="38" t="s">
        <v>88</v>
      </c>
      <c r="B279" s="38"/>
      <c r="C279" s="39"/>
      <c r="D279" s="40">
        <v>1106930402</v>
      </c>
      <c r="E279" s="41" t="s">
        <v>473</v>
      </c>
      <c r="F279" s="41" t="s">
        <v>474</v>
      </c>
    </row>
    <row r="280" spans="1:6" ht="15.75" x14ac:dyDescent="0.25">
      <c r="A280" s="38" t="s">
        <v>88</v>
      </c>
      <c r="B280" s="38"/>
      <c r="C280" s="39"/>
      <c r="D280" s="40">
        <v>1112623698</v>
      </c>
      <c r="E280" s="41" t="s">
        <v>471</v>
      </c>
      <c r="F280" s="41" t="s">
        <v>472</v>
      </c>
    </row>
    <row r="281" spans="1:6" ht="15.75" x14ac:dyDescent="0.25">
      <c r="A281" s="38" t="s">
        <v>88</v>
      </c>
      <c r="B281" s="38"/>
      <c r="C281" s="39"/>
      <c r="D281" s="40">
        <v>1112499250</v>
      </c>
      <c r="E281" s="41" t="s">
        <v>469</v>
      </c>
      <c r="F281" s="41" t="s">
        <v>470</v>
      </c>
    </row>
    <row r="282" spans="1:6" ht="15.75" x14ac:dyDescent="0.25">
      <c r="A282" s="38" t="s">
        <v>88</v>
      </c>
      <c r="B282" s="38"/>
      <c r="C282" s="39"/>
      <c r="D282" s="40">
        <v>2068517674</v>
      </c>
      <c r="E282" s="41" t="s">
        <v>89</v>
      </c>
      <c r="F282" s="41" t="s">
        <v>727</v>
      </c>
    </row>
    <row r="283" spans="1:6" ht="15.75" x14ac:dyDescent="0.25">
      <c r="A283" s="38" t="s">
        <v>88</v>
      </c>
      <c r="B283" s="38"/>
      <c r="C283" s="39"/>
      <c r="D283" s="40">
        <v>2068508789</v>
      </c>
      <c r="E283" s="41" t="s">
        <v>90</v>
      </c>
      <c r="F283" s="41" t="s">
        <v>168</v>
      </c>
    </row>
    <row r="284" spans="1:6" ht="15.75" x14ac:dyDescent="0.25">
      <c r="A284" s="38" t="s">
        <v>534</v>
      </c>
      <c r="B284" s="38"/>
      <c r="C284" s="39"/>
      <c r="D284" s="40">
        <v>1112627570</v>
      </c>
      <c r="E284" s="38" t="s">
        <v>543</v>
      </c>
      <c r="F284" s="41" t="s">
        <v>544</v>
      </c>
    </row>
    <row r="285" spans="1:6" ht="15.75" x14ac:dyDescent="0.25">
      <c r="A285" s="38" t="s">
        <v>534</v>
      </c>
      <c r="B285" s="38"/>
      <c r="C285" s="39"/>
      <c r="D285" s="40">
        <v>2068543187</v>
      </c>
      <c r="E285" s="38" t="s">
        <v>541</v>
      </c>
      <c r="F285" s="41" t="s">
        <v>542</v>
      </c>
    </row>
    <row r="286" spans="1:6" ht="15.75" x14ac:dyDescent="0.25">
      <c r="A286" s="38" t="s">
        <v>534</v>
      </c>
      <c r="B286" s="38"/>
      <c r="C286" s="39"/>
      <c r="D286" s="40">
        <v>2757619245</v>
      </c>
      <c r="E286" s="38" t="s">
        <v>539</v>
      </c>
      <c r="F286" s="41" t="s">
        <v>540</v>
      </c>
    </row>
    <row r="287" spans="1:6" ht="15.75" x14ac:dyDescent="0.25">
      <c r="A287" s="38" t="s">
        <v>534</v>
      </c>
      <c r="B287" s="38"/>
      <c r="C287" s="39"/>
      <c r="D287" s="40">
        <v>1105899330</v>
      </c>
      <c r="E287" s="38" t="s">
        <v>537</v>
      </c>
      <c r="F287" s="41" t="s">
        <v>538</v>
      </c>
    </row>
    <row r="288" spans="1:6" ht="15.75" x14ac:dyDescent="0.25">
      <c r="A288" s="38" t="s">
        <v>534</v>
      </c>
      <c r="B288" s="55"/>
      <c r="C288" s="39"/>
      <c r="D288" s="40">
        <v>2757594204</v>
      </c>
      <c r="E288" s="38" t="s">
        <v>535</v>
      </c>
      <c r="F288" s="41" t="s">
        <v>536</v>
      </c>
    </row>
    <row r="289" spans="1:6" ht="15.75" x14ac:dyDescent="0.25">
      <c r="A289" s="38" t="s">
        <v>691</v>
      </c>
      <c r="B289" s="38"/>
      <c r="C289" s="39"/>
      <c r="D289" s="40">
        <v>1107085842</v>
      </c>
      <c r="E289" s="38" t="s">
        <v>700</v>
      </c>
      <c r="F289" s="41" t="s">
        <v>701</v>
      </c>
    </row>
    <row r="290" spans="1:6" ht="15.75" x14ac:dyDescent="0.25">
      <c r="A290" s="38" t="s">
        <v>691</v>
      </c>
      <c r="B290" s="38"/>
      <c r="C290" s="39"/>
      <c r="D290" s="40">
        <v>1106850290</v>
      </c>
      <c r="E290" s="38" t="s">
        <v>698</v>
      </c>
      <c r="F290" s="41" t="s">
        <v>699</v>
      </c>
    </row>
    <row r="291" spans="1:6" ht="15.75" x14ac:dyDescent="0.25">
      <c r="A291" s="38" t="s">
        <v>691</v>
      </c>
      <c r="B291" s="38"/>
      <c r="C291" s="39"/>
      <c r="D291" s="40">
        <v>2068532082</v>
      </c>
      <c r="E291" s="38" t="s">
        <v>696</v>
      </c>
      <c r="F291" s="41" t="s">
        <v>697</v>
      </c>
    </row>
    <row r="292" spans="1:6" ht="15.75" x14ac:dyDescent="0.25">
      <c r="A292" s="38" t="s">
        <v>691</v>
      </c>
      <c r="B292" s="38"/>
      <c r="C292" s="39"/>
      <c r="D292" s="40">
        <v>2315131501</v>
      </c>
      <c r="E292" s="38" t="s">
        <v>694</v>
      </c>
      <c r="F292" s="41" t="s">
        <v>695</v>
      </c>
    </row>
    <row r="293" spans="1:6" ht="15.75" x14ac:dyDescent="0.25">
      <c r="A293" s="38" t="s">
        <v>691</v>
      </c>
      <c r="B293" s="38"/>
      <c r="C293" s="39"/>
      <c r="D293" s="40">
        <v>2297871690</v>
      </c>
      <c r="E293" s="38" t="s">
        <v>692</v>
      </c>
      <c r="F293" s="41" t="s">
        <v>693</v>
      </c>
    </row>
    <row r="294" spans="1:6" ht="15.75" x14ac:dyDescent="0.25">
      <c r="A294" s="38" t="s">
        <v>513</v>
      </c>
      <c r="B294" s="38"/>
      <c r="C294" s="39"/>
      <c r="D294" s="40">
        <v>1112327218</v>
      </c>
      <c r="E294" s="41" t="s">
        <v>516</v>
      </c>
      <c r="F294" s="41" t="s">
        <v>517</v>
      </c>
    </row>
    <row r="295" spans="1:6" ht="15.75" x14ac:dyDescent="0.25">
      <c r="A295" s="38" t="s">
        <v>513</v>
      </c>
      <c r="B295" s="38"/>
      <c r="C295" s="39"/>
      <c r="D295" s="40">
        <v>2068505965</v>
      </c>
      <c r="E295" s="41" t="s">
        <v>514</v>
      </c>
      <c r="F295" s="41" t="s">
        <v>515</v>
      </c>
    </row>
    <row r="296" spans="1:6" ht="15.75" x14ac:dyDescent="0.25">
      <c r="A296" s="51" t="s">
        <v>151</v>
      </c>
      <c r="B296" s="51"/>
      <c r="C296" s="39"/>
      <c r="D296" s="40">
        <v>1106001490</v>
      </c>
      <c r="E296" s="38" t="s">
        <v>152</v>
      </c>
      <c r="F296" s="38" t="s">
        <v>678</v>
      </c>
    </row>
    <row r="297" spans="1:6" ht="15.75" x14ac:dyDescent="0.25">
      <c r="A297" s="51" t="s">
        <v>151</v>
      </c>
      <c r="B297" s="51"/>
      <c r="C297" s="39"/>
      <c r="D297" s="40">
        <v>1113002674</v>
      </c>
      <c r="E297" s="38" t="s">
        <v>153</v>
      </c>
      <c r="F297" s="38" t="s">
        <v>679</v>
      </c>
    </row>
    <row r="298" spans="1:6" ht="15.75" x14ac:dyDescent="0.25">
      <c r="A298" s="51" t="s">
        <v>151</v>
      </c>
      <c r="B298" s="51"/>
      <c r="C298" s="39"/>
      <c r="D298" s="40">
        <v>2757611698</v>
      </c>
      <c r="E298" s="38" t="s">
        <v>154</v>
      </c>
      <c r="F298" s="38" t="s">
        <v>680</v>
      </c>
    </row>
    <row r="299" spans="1:6" ht="15.75" x14ac:dyDescent="0.25">
      <c r="A299" s="51" t="s">
        <v>151</v>
      </c>
      <c r="B299" s="51"/>
      <c r="C299" s="39"/>
      <c r="D299" s="40">
        <v>1106786402</v>
      </c>
      <c r="E299" s="38" t="s">
        <v>155</v>
      </c>
      <c r="F299" s="38" t="s">
        <v>681</v>
      </c>
    </row>
    <row r="300" spans="1:6" ht="15.75" x14ac:dyDescent="0.25">
      <c r="A300" s="51" t="s">
        <v>151</v>
      </c>
      <c r="B300" s="51"/>
      <c r="C300" s="39"/>
      <c r="D300" s="40">
        <v>1105766146</v>
      </c>
      <c r="E300" s="38" t="s">
        <v>156</v>
      </c>
      <c r="F300" s="38" t="s">
        <v>682</v>
      </c>
    </row>
    <row r="301" spans="1:6" ht="15.75" x14ac:dyDescent="0.25">
      <c r="A301" s="51" t="s">
        <v>151</v>
      </c>
      <c r="B301" s="51"/>
      <c r="C301" s="39"/>
      <c r="D301" s="40">
        <v>1106808370</v>
      </c>
      <c r="E301" s="38" t="s">
        <v>157</v>
      </c>
      <c r="F301" s="38" t="s">
        <v>683</v>
      </c>
    </row>
    <row r="302" spans="1:6" ht="15.75" x14ac:dyDescent="0.25">
      <c r="A302" s="51" t="s">
        <v>151</v>
      </c>
      <c r="B302" s="51"/>
      <c r="C302" s="39"/>
      <c r="D302" s="40">
        <v>1975212974</v>
      </c>
      <c r="E302" s="38" t="s">
        <v>158</v>
      </c>
      <c r="F302" s="38" t="s">
        <v>684</v>
      </c>
    </row>
    <row r="303" spans="1:6" ht="15.75" x14ac:dyDescent="0.25">
      <c r="A303" s="51" t="s">
        <v>151</v>
      </c>
      <c r="B303" s="51"/>
      <c r="C303" s="39"/>
      <c r="D303" s="40">
        <v>2068487268</v>
      </c>
      <c r="E303" s="38" t="s">
        <v>159</v>
      </c>
      <c r="F303" s="38" t="s">
        <v>685</v>
      </c>
    </row>
    <row r="304" spans="1:6" ht="15.75" x14ac:dyDescent="0.25">
      <c r="A304" s="51" t="s">
        <v>151</v>
      </c>
      <c r="B304" s="51"/>
      <c r="C304" s="39"/>
      <c r="D304" s="40">
        <v>1105960514</v>
      </c>
      <c r="E304" s="38" t="s">
        <v>160</v>
      </c>
      <c r="F304" s="38" t="s">
        <v>686</v>
      </c>
    </row>
    <row r="305" spans="1:6" ht="15.75" x14ac:dyDescent="0.25">
      <c r="A305" s="51" t="s">
        <v>151</v>
      </c>
      <c r="B305" s="51"/>
      <c r="C305" s="39"/>
      <c r="D305" s="40">
        <v>2068542454</v>
      </c>
      <c r="E305" s="38" t="s">
        <v>161</v>
      </c>
      <c r="F305" s="38" t="s">
        <v>687</v>
      </c>
    </row>
    <row r="306" spans="1:6" ht="15.75" x14ac:dyDescent="0.25">
      <c r="A306" s="51" t="s">
        <v>151</v>
      </c>
      <c r="B306" s="51"/>
      <c r="C306" s="39"/>
      <c r="D306" s="40">
        <v>2315083045</v>
      </c>
      <c r="E306" s="38" t="s">
        <v>162</v>
      </c>
      <c r="F306" s="38" t="s">
        <v>688</v>
      </c>
    </row>
    <row r="307" spans="1:6" ht="15.75" x14ac:dyDescent="0.25">
      <c r="A307" s="51" t="s">
        <v>151</v>
      </c>
      <c r="B307" s="51"/>
      <c r="C307" s="39"/>
      <c r="D307" s="40">
        <v>1112273010</v>
      </c>
      <c r="E307" s="38" t="s">
        <v>163</v>
      </c>
      <c r="F307" s="38" t="s">
        <v>689</v>
      </c>
    </row>
    <row r="308" spans="1:6" ht="15.75" x14ac:dyDescent="0.25">
      <c r="A308" s="51" t="s">
        <v>151</v>
      </c>
      <c r="B308" s="51"/>
      <c r="C308" s="39"/>
      <c r="D308" s="40">
        <v>1107129026</v>
      </c>
      <c r="E308" s="38" t="s">
        <v>164</v>
      </c>
      <c r="F308" s="38" t="s">
        <v>690</v>
      </c>
    </row>
    <row r="309" spans="1:6" ht="15.75" x14ac:dyDescent="0.25">
      <c r="A309" s="50" t="s">
        <v>984</v>
      </c>
      <c r="B309" s="2"/>
      <c r="C309" s="1"/>
      <c r="D309" s="40">
        <v>2068473489</v>
      </c>
      <c r="E309" s="38" t="s">
        <v>985</v>
      </c>
      <c r="F309" s="41" t="s">
        <v>986</v>
      </c>
    </row>
    <row r="310" spans="1:6" ht="15.75" x14ac:dyDescent="0.25">
      <c r="A310" s="50" t="s">
        <v>984</v>
      </c>
      <c r="B310" s="2"/>
      <c r="C310" s="1"/>
      <c r="D310" s="40">
        <v>1975137555</v>
      </c>
      <c r="E310" s="38" t="s">
        <v>982</v>
      </c>
      <c r="F310" s="41" t="s">
        <v>983</v>
      </c>
    </row>
    <row r="311" spans="1:6" ht="15.75" x14ac:dyDescent="0.25">
      <c r="A311" s="38" t="s">
        <v>705</v>
      </c>
      <c r="B311" s="38"/>
      <c r="C311" s="39"/>
      <c r="D311" s="40">
        <v>1105798114</v>
      </c>
      <c r="E311" s="38" t="s">
        <v>706</v>
      </c>
      <c r="F311" s="41" t="s">
        <v>707</v>
      </c>
    </row>
    <row r="312" spans="1:6" ht="15.75" x14ac:dyDescent="0.25">
      <c r="A312" s="38" t="s">
        <v>85</v>
      </c>
      <c r="B312" s="38"/>
      <c r="C312" s="39"/>
      <c r="D312" s="40">
        <v>2068551312</v>
      </c>
      <c r="E312" s="41" t="s">
        <v>479</v>
      </c>
      <c r="F312" s="41" t="s">
        <v>480</v>
      </c>
    </row>
    <row r="313" spans="1:6" ht="15.75" x14ac:dyDescent="0.25">
      <c r="A313" s="38" t="s">
        <v>85</v>
      </c>
      <c r="B313" s="38"/>
      <c r="C313" s="39"/>
      <c r="D313" s="40">
        <v>1113113826</v>
      </c>
      <c r="E313" s="41" t="s">
        <v>86</v>
      </c>
      <c r="F313" s="41" t="s">
        <v>726</v>
      </c>
    </row>
    <row r="314" spans="1:6" ht="15.75" x14ac:dyDescent="0.25">
      <c r="A314" s="38" t="s">
        <v>85</v>
      </c>
      <c r="B314" s="38"/>
      <c r="C314" s="39"/>
      <c r="D314" s="40">
        <v>2297981226</v>
      </c>
      <c r="E314" s="41" t="s">
        <v>87</v>
      </c>
      <c r="F314" s="41" t="s">
        <v>414</v>
      </c>
    </row>
    <row r="315" spans="1:6" ht="15.75" x14ac:dyDescent="0.25">
      <c r="A315" s="38" t="s">
        <v>120</v>
      </c>
      <c r="B315" s="38"/>
      <c r="C315" s="39"/>
      <c r="D315" s="40">
        <v>2512347338</v>
      </c>
      <c r="E315" s="38" t="s">
        <v>741</v>
      </c>
      <c r="F315" s="38" t="s">
        <v>657</v>
      </c>
    </row>
    <row r="316" spans="1:6" ht="15.75" x14ac:dyDescent="0.25">
      <c r="A316" s="38" t="s">
        <v>120</v>
      </c>
      <c r="B316" s="38"/>
      <c r="C316" s="39"/>
      <c r="D316" s="40">
        <v>1105549458</v>
      </c>
      <c r="E316" s="38" t="s">
        <v>121</v>
      </c>
      <c r="F316" s="38" t="s">
        <v>658</v>
      </c>
    </row>
    <row r="317" spans="1:6" ht="15.75" x14ac:dyDescent="0.25">
      <c r="A317" s="38" t="s">
        <v>120</v>
      </c>
      <c r="B317" s="38"/>
      <c r="C317" s="39"/>
      <c r="D317" s="40">
        <v>1111727714</v>
      </c>
      <c r="E317" s="38" t="s">
        <v>122</v>
      </c>
      <c r="F317" s="38" t="s">
        <v>659</v>
      </c>
    </row>
    <row r="318" spans="1:6" ht="15.75" x14ac:dyDescent="0.25">
      <c r="A318" s="38" t="s">
        <v>120</v>
      </c>
      <c r="B318" s="38"/>
      <c r="C318" s="39"/>
      <c r="D318" s="40">
        <v>3245155037</v>
      </c>
      <c r="E318" s="38" t="s">
        <v>123</v>
      </c>
      <c r="F318" s="38" t="s">
        <v>660</v>
      </c>
    </row>
    <row r="319" spans="1:6" ht="15.75" x14ac:dyDescent="0.25">
      <c r="A319" s="38" t="s">
        <v>120</v>
      </c>
      <c r="B319" s="38"/>
      <c r="C319" s="39"/>
      <c r="D319" s="40">
        <v>2068523787</v>
      </c>
      <c r="E319" s="38" t="s">
        <v>740</v>
      </c>
      <c r="F319" s="38" t="s">
        <v>661</v>
      </c>
    </row>
    <row r="320" spans="1:6" ht="15.75" x14ac:dyDescent="0.25">
      <c r="A320" s="38" t="s">
        <v>120</v>
      </c>
      <c r="B320" s="38"/>
      <c r="C320" s="39"/>
      <c r="D320" s="40">
        <v>2068506416</v>
      </c>
      <c r="E320" s="38" t="s">
        <v>124</v>
      </c>
      <c r="F320" s="38" t="s">
        <v>662</v>
      </c>
    </row>
    <row r="321" spans="1:6" ht="15.75" x14ac:dyDescent="0.25">
      <c r="A321" s="38" t="s">
        <v>120</v>
      </c>
      <c r="B321" s="38"/>
      <c r="C321" s="39"/>
      <c r="D321" s="40">
        <v>2315064603</v>
      </c>
      <c r="E321" s="38" t="s">
        <v>125</v>
      </c>
      <c r="F321" s="38" t="s">
        <v>663</v>
      </c>
    </row>
    <row r="322" spans="1:6" ht="15.75" x14ac:dyDescent="0.25">
      <c r="A322" s="38" t="s">
        <v>120</v>
      </c>
      <c r="B322" s="38"/>
      <c r="C322" s="39"/>
      <c r="D322" s="40">
        <v>1106229602</v>
      </c>
      <c r="E322" s="38" t="s">
        <v>126</v>
      </c>
      <c r="F322" s="38" t="s">
        <v>664</v>
      </c>
    </row>
  </sheetData>
  <sortState ref="A14:F322">
    <sortCondition ref="A14"/>
  </sortState>
  <mergeCells count="1">
    <mergeCell ref="A10:F12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2FA23D-4C4E-437A-9C29-BFF62B0E81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9</vt:i4>
      </vt:variant>
    </vt:vector>
  </HeadingPairs>
  <TitlesOfParts>
    <vt:vector size="21" baseType="lpstr">
      <vt:lpstr>PRINCIPAL</vt:lpstr>
      <vt:lpstr>HORARIOS</vt:lpstr>
      <vt:lpstr>PAQUETERIA</vt:lpstr>
      <vt:lpstr>CONTROL DE LLAVES</vt:lpstr>
      <vt:lpstr>CONTROL MATERIAL</vt:lpstr>
      <vt:lpstr>ROPA</vt:lpstr>
      <vt:lpstr>PARKING</vt:lpstr>
      <vt:lpstr>LISTADO LLAVES</vt:lpstr>
      <vt:lpstr>MERCANCIA</vt:lpstr>
      <vt:lpstr>LISTADO TELÉFONOS</vt:lpstr>
      <vt:lpstr>PLANTILLAS</vt:lpstr>
      <vt:lpstr>BD.BUNGE</vt:lpstr>
      <vt:lpstr>PRINCIPAL!Área_de_extracción</vt:lpstr>
      <vt:lpstr>BD.BUNGE!Criterios</vt:lpstr>
      <vt:lpstr>'CONTROL DE LLAVES'!Criterios</vt:lpstr>
      <vt:lpstr>'CONTROL MATERIAL'!Criterios</vt:lpstr>
      <vt:lpstr>HORARIOS!Criterios</vt:lpstr>
      <vt:lpstr>'LISTADO TELÉFONOS'!Criterios</vt:lpstr>
      <vt:lpstr>MERCANCIA!Criterios</vt:lpstr>
      <vt:lpstr>PAQUETERIA!Criterios</vt:lpstr>
      <vt:lpstr>PRINCIPAL!Criterios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Señorans</dc:creator>
  <cp:lastModifiedBy>G-BCN-S4S73585</cp:lastModifiedBy>
  <cp:lastPrinted>2020-03-12T06:37:47Z</cp:lastPrinted>
  <dcterms:created xsi:type="dcterms:W3CDTF">2020-02-23T16:22:35Z</dcterms:created>
  <dcterms:modified xsi:type="dcterms:W3CDTF">2020-03-12T07:32:33Z</dcterms:modified>
</cp:coreProperties>
</file>